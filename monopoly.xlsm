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daf7c6190114d3a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120" yWindow="30" windowWidth="21315" windowHeight="10260"/>
  </bookViews>
  <sheets>
    <sheet name="Monopoly" sheetId="1" r:id="rId1"/>
    <sheet name="Vermögensentwicklung" sheetId="3" r:id="rId2"/>
    <sheet name="Grunddaten" sheetId="2" state="veryHidden" r:id="rId3"/>
  </sheets>
  <functionGroups builtInGroupCount="17"/>
  <definedNames>
    <definedName name="AnzahlHäuser">Monopoly!$DD$66:$DD$106</definedName>
    <definedName name="B_S1">OFFSET(Grunddaten!$D$6,,,MATCH(TRUE,ISBLANK(Grunddaten!$D$6:$D$400),0)-1)</definedName>
    <definedName name="B_S2">OFFSET(Grunddaten!$E$6,,,MATCH(TRUE,ISBLANK(Grunddaten!$E$6:$E$400),0)-1)</definedName>
    <definedName name="Barvermögen_Mitte">Monopoly!$AO$31</definedName>
    <definedName name="Barvermögen_S1">Monopoly!$I$57</definedName>
    <definedName name="Barvermögen_S2">Monopoly!$BY$57</definedName>
    <definedName name="Besitzer">Monopoly!$DA$66:$DA$106</definedName>
    <definedName name="EK_S1">Monopoly!$DN$69</definedName>
    <definedName name="EK_S2">Monopoly!$DN$76</definedName>
    <definedName name="Ereignisfelder">Monopoly!$CR$110:$CR$114</definedName>
    <definedName name="Feld_1">Monopoly!$BQ$54</definedName>
    <definedName name="Feld_10">Monopoly!$X$57</definedName>
    <definedName name="Feld_11">Monopoly!$U$57,Monopoly!$Q$54</definedName>
    <definedName name="Feld_12">Monopoly!$Q$49</definedName>
    <definedName name="Feld_13">Monopoly!$Q$44</definedName>
    <definedName name="Feld_14">Monopoly!$Q$39</definedName>
    <definedName name="Feld_15">Monopoly!$Q$34</definedName>
    <definedName name="Feld_16">Monopoly!$Q$29</definedName>
    <definedName name="Feld_17">Monopoly!$Q$24</definedName>
    <definedName name="Feld_18">Monopoly!$Q$19</definedName>
    <definedName name="Feld_19">Monopoly!$Q$14</definedName>
    <definedName name="Feld_2">Monopoly!$BL$57</definedName>
    <definedName name="Feld_20">Monopoly!$Q$9</definedName>
    <definedName name="Feld_21">Monopoly!$Q$2</definedName>
    <definedName name="Feld_22">Monopoly!$X$2</definedName>
    <definedName name="Feld_23">Monopoly!$AC$2</definedName>
    <definedName name="Feld_24">Monopoly!$AH$2</definedName>
    <definedName name="Feld_25">Monopoly!$AM$2</definedName>
    <definedName name="Feld_26">Monopoly!$AR$2</definedName>
    <definedName name="Feld_27">Monopoly!$AW$2</definedName>
    <definedName name="Feld_28">Monopoly!$BB$2</definedName>
    <definedName name="Feld_29">Monopoly!$BG$2</definedName>
    <definedName name="Feld_3">Monopoly!$BG$54</definedName>
    <definedName name="Feld_30">Monopoly!$BL$2</definedName>
    <definedName name="Feld_31">Monopoly!$BQ$2</definedName>
    <definedName name="Feld_32">Monopoly!$BT$9</definedName>
    <definedName name="Feld_33">Monopoly!$BT$14</definedName>
    <definedName name="Feld_34">Monopoly!$BQ$19</definedName>
    <definedName name="Feld_35">Monopoly!$BT$24</definedName>
    <definedName name="Feld_36">Monopoly!$BT$29</definedName>
    <definedName name="Feld_37">Monopoly!$BQ$34</definedName>
    <definedName name="Feld_38">Monopoly!$BT$39</definedName>
    <definedName name="Feld_39">Monopoly!$BQ$44</definedName>
    <definedName name="Feld_4">Monopoly!$BB$57</definedName>
    <definedName name="Feld_40">Monopoly!$BT$49</definedName>
    <definedName name="Feld_5">Monopoly!$AW$54</definedName>
    <definedName name="Feld_50">Monopoly!$U$54</definedName>
    <definedName name="Feld_6">Monopoly!$AR$57</definedName>
    <definedName name="Feld_7">Monopoly!$AM$57</definedName>
    <definedName name="Feld_8">Monopoly!$AH$54</definedName>
    <definedName name="Feld_9">Monopoly!$AC$57</definedName>
    <definedName name="GanzeRunde?">Grunddaten!$G$2</definedName>
    <definedName name="GefängnisS1">Monopoly!$I$5</definedName>
    <definedName name="GefängnisS2">Monopoly!$BY$5</definedName>
    <definedName name="Gemeinschaftsfelder">Monopoly!$CR$117:$CR$121</definedName>
    <definedName name="Gr_S1">Monopoly!$DN$66</definedName>
    <definedName name="Gr_S2">Monopoly!$DN$73</definedName>
    <definedName name="Grundstueck">Monopoly!$CS$66:$CS$106</definedName>
    <definedName name="Häuser_S1">Monopoly!$DN$67</definedName>
    <definedName name="Häuser_S2">Monopoly!$DN$74</definedName>
    <definedName name="HäuserGebaut">Monopoly!$DD$109</definedName>
    <definedName name="HotelsGebaut">Monopoly!$DD$110</definedName>
    <definedName name="Hyp_S1">Monopoly!$DN$68</definedName>
    <definedName name="Hyp_S2">Monopoly!$DN$75</definedName>
    <definedName name="Hypothek">Monopoly!$DF$66:$DF$106</definedName>
    <definedName name="Index">Monopoly!$CR$66:$CR$106</definedName>
    <definedName name="NachrichtS1">Monopoly!$I$9</definedName>
    <definedName name="NachrichtS2">Monopoly!$BY$9</definedName>
    <definedName name="NameSpieler1">Monopoly!$B$3</definedName>
    <definedName name="NameSpieler2">Monopoly!$BY$3</definedName>
    <definedName name="PosS1">Monopoly!$P$2</definedName>
    <definedName name="PosS2">Monopoly!$BX$2</definedName>
    <definedName name="Reihe_S1">OFFSET(Grunddaten!$B$6,,,MATCH(TRUE,ISBLANK(Grunddaten!$B$6:$B$2000),0)-1)</definedName>
    <definedName name="Reihe_S2">OFFSET(Grunddaten!$C$6,,,MATCH(TRUE,ISBLANK(Grunddaten!$C$6:$C$2000),0)-1)</definedName>
    <definedName name="RundenGefängnisS1">Monopoly!$I$7</definedName>
    <definedName name="RundenGefängnisS2">Monopoly!$BY$7</definedName>
    <definedName name="Rundenzähler">Monopoly!$BG$14</definedName>
    <definedName name="Schrittweite">Grunddaten!$C$2</definedName>
    <definedName name="Spielfelder">Monopoly!$Q$2,Monopoly!$Q$9,Monopoly!$Q$14,Monopoly!$Q$19,Monopoly!$Q$24,Monopoly!$Q$29,Monopoly!$Q$34,Monopoly!$Q$39,Monopoly!$Q$44,Monopoly!$Q$49,Monopoly!$Q$54,Monopoly!$U$57,Monopoly!$X$57,Monopoly!$AC$57,Monopoly!$AH$54,Monopoly!$AM$57,Monopoly!$AR$57,Monopoly!$AW$54,Monopoly!$BB$57,Monopoly!$BG$54,Monopoly!$BL$57,Monopoly!$BQ$54,Monopoly!$BT$49,Monopoly!$BQ$44,Monopoly!$BT$39,Monopoly!$BQ$34,Monopoly!$BT$29,Monopoly!$BT$24,Monopoly!$BT$14,Monopoly!$BQ$19,Monopoly!$BT$9,Monopoly!$BQ$2,Monopoly!$AH$2:$BP$5,Monopoly!$AC$2,Monopoly!$X$2</definedName>
    <definedName name="Wuerfel1">Monopoly!$AJ$15</definedName>
    <definedName name="Wuerfel2">Monopoly!$AT$17</definedName>
    <definedName name="X_Achse">Grunddaten!$A$6:OFFSET(Grunddaten!$A$6,MAX(Grunddaten!$A$6:$A$2000)/5,0)</definedName>
  </definedNames>
  <calcPr calcId="145621"/>
</workbook>
</file>

<file path=xl/calcChain.xml><?xml version="1.0" encoding="utf-8"?>
<calcChain xmlns="http://schemas.openxmlformats.org/spreadsheetml/2006/main">
  <c r="M17" i="2" l="1"/>
  <c r="J17" i="2"/>
  <c r="J16" i="2" l="1"/>
  <c r="M16" i="2" l="1"/>
  <c r="J18" i="2"/>
  <c r="I23" i="2" s="1"/>
  <c r="J23" i="2" l="1"/>
  <c r="M18" i="2"/>
  <c r="M23" i="2" s="1"/>
  <c r="DD110" i="1" a="1"/>
  <c r="DD110" i="1" s="1"/>
  <c r="DD109" i="1"/>
  <c r="L23" i="2" l="1"/>
  <c r="CX112" i="1" a="1"/>
  <c r="CX112" i="1" s="1"/>
  <c r="A7" i="2" l="1"/>
  <c r="A8" i="2"/>
  <c r="A9" i="2" l="1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C5" i="2" l="1"/>
  <c r="E5" i="2" s="1"/>
  <c r="B5" i="2"/>
  <c r="D5" i="2" s="1"/>
  <c r="DN72" i="1"/>
  <c r="DN71" i="1"/>
  <c r="DN75" i="1" s="1" a="1"/>
  <c r="DN64" i="1"/>
  <c r="DN67" i="1" s="1" a="1"/>
  <c r="DN65" i="1"/>
  <c r="DN66" i="1" l="1" a="1"/>
  <c r="DN68" i="1" a="1"/>
  <c r="DN68" i="1" s="1"/>
  <c r="DN74" i="1" a="1"/>
  <c r="DN73" i="1" a="1"/>
  <c r="DN73" i="1" s="1"/>
  <c r="DN75" i="1"/>
  <c r="DN74" i="1"/>
  <c r="DN66" i="1"/>
  <c r="DN67" i="1"/>
  <c r="I52" i="1"/>
  <c r="BY52" i="1"/>
  <c r="DN76" i="1" l="1"/>
  <c r="DN69" i="1"/>
  <c r="I53" i="1"/>
  <c r="BY53" i="1"/>
  <c r="AL19" i="1" l="1"/>
  <c r="AL17" i="1"/>
  <c r="AL15" i="1"/>
  <c r="AJ17" i="1"/>
  <c r="AH19" i="1"/>
  <c r="AH17" i="1"/>
  <c r="AH15" i="1"/>
  <c r="DB105" i="1" l="1"/>
  <c r="DB103" i="1"/>
  <c r="DB100" i="1"/>
  <c r="DB98" i="1"/>
  <c r="DB97" i="1"/>
  <c r="DB95" i="1"/>
  <c r="DB93" i="1"/>
  <c r="DB92" i="1"/>
  <c r="DB90" i="1"/>
  <c r="DB89" i="1"/>
  <c r="DB87" i="1"/>
  <c r="DB85" i="1"/>
  <c r="DB84" i="1"/>
  <c r="DB82" i="1"/>
  <c r="DB80" i="1"/>
  <c r="DB79" i="1"/>
  <c r="DB77" i="1"/>
  <c r="DB75" i="1"/>
  <c r="DB74" i="1"/>
  <c r="DB72" i="1"/>
  <c r="DB69" i="1"/>
  <c r="DB67" i="1"/>
  <c r="BS14" i="1" l="1"/>
  <c r="BS9" i="1"/>
  <c r="BS29" i="1"/>
  <c r="BS24" i="1"/>
  <c r="BS39" i="1"/>
  <c r="BS49" i="1"/>
  <c r="U14" i="1"/>
  <c r="U9" i="1"/>
  <c r="U44" i="1"/>
  <c r="U39" i="1"/>
  <c r="U34" i="1"/>
  <c r="U29" i="1"/>
  <c r="U24" i="1"/>
  <c r="U49" i="1"/>
  <c r="BL6" i="1"/>
  <c r="BG6" i="1"/>
  <c r="BB6" i="1"/>
  <c r="AW6" i="1"/>
  <c r="AR6" i="1"/>
  <c r="AM6" i="1"/>
  <c r="AH6" i="1"/>
  <c r="X6" i="1"/>
  <c r="AC56" i="1"/>
  <c r="X56" i="1"/>
  <c r="AR56" i="1"/>
  <c r="AM56" i="1"/>
  <c r="BB56" i="1"/>
  <c r="BL56" i="1"/>
  <c r="CF59" i="1"/>
  <c r="BX59" i="1" s="1"/>
  <c r="CF57" i="1"/>
  <c r="BX57" i="1" s="1"/>
  <c r="CF55" i="1"/>
  <c r="BX55" i="1" s="1"/>
  <c r="CF53" i="1"/>
  <c r="BX53" i="1" s="1"/>
  <c r="CF51" i="1"/>
  <c r="BX51" i="1" s="1"/>
  <c r="CF49" i="1"/>
  <c r="BX49" i="1" s="1"/>
  <c r="CF47" i="1"/>
  <c r="BX47" i="1" s="1"/>
  <c r="CF45" i="1"/>
  <c r="BX45" i="1" s="1"/>
  <c r="CF43" i="1"/>
  <c r="BX43" i="1" s="1"/>
  <c r="CF41" i="1"/>
  <c r="BX41" i="1" s="1"/>
  <c r="CF39" i="1"/>
  <c r="BX39" i="1" s="1"/>
  <c r="CF37" i="1"/>
  <c r="BX37" i="1" s="1"/>
  <c r="CF35" i="1"/>
  <c r="BX35" i="1" s="1"/>
  <c r="CF33" i="1"/>
  <c r="BX33" i="1" s="1"/>
  <c r="CF31" i="1"/>
  <c r="BX31" i="1" s="1"/>
  <c r="CF29" i="1"/>
  <c r="BX29" i="1" s="1"/>
  <c r="CF27" i="1"/>
  <c r="BX27" i="1" s="1"/>
  <c r="CF25" i="1"/>
  <c r="BX25" i="1" s="1"/>
  <c r="CF23" i="1"/>
  <c r="BX23" i="1" s="1"/>
  <c r="CF21" i="1"/>
  <c r="BX21" i="1" s="1"/>
  <c r="CF19" i="1"/>
  <c r="BX19" i="1" s="1"/>
  <c r="CF17" i="1"/>
  <c r="BX17" i="1" s="1"/>
  <c r="CF13" i="1"/>
  <c r="BX13" i="1" s="1"/>
  <c r="CF11" i="1"/>
  <c r="BX11" i="1" s="1"/>
  <c r="CF9" i="1"/>
  <c r="BX9" i="1" s="1"/>
  <c r="CF7" i="1"/>
  <c r="BX7" i="1" s="1"/>
  <c r="CF5" i="1"/>
  <c r="BX5" i="1" s="1"/>
  <c r="CF15" i="1"/>
  <c r="BX15" i="1" s="1"/>
  <c r="B59" i="1"/>
  <c r="P59" i="1" s="1"/>
  <c r="B57" i="1"/>
  <c r="P57" i="1" s="1"/>
  <c r="B55" i="1"/>
  <c r="P55" i="1" s="1"/>
  <c r="B53" i="1"/>
  <c r="P53" i="1" s="1"/>
  <c r="B51" i="1"/>
  <c r="P51" i="1" s="1"/>
  <c r="B49" i="1"/>
  <c r="P49" i="1" s="1"/>
  <c r="B47" i="1"/>
  <c r="P47" i="1" s="1"/>
  <c r="B45" i="1"/>
  <c r="P45" i="1" s="1"/>
  <c r="B43" i="1"/>
  <c r="P43" i="1" s="1"/>
  <c r="B41" i="1"/>
  <c r="P41" i="1" s="1"/>
  <c r="B39" i="1"/>
  <c r="P39" i="1" s="1"/>
  <c r="B37" i="1"/>
  <c r="P37" i="1" s="1"/>
  <c r="B35" i="1"/>
  <c r="P35" i="1" s="1"/>
  <c r="B33" i="1"/>
  <c r="P33" i="1" s="1"/>
  <c r="B31" i="1"/>
  <c r="P31" i="1" s="1"/>
  <c r="B29" i="1"/>
  <c r="P29" i="1" s="1"/>
  <c r="B27" i="1"/>
  <c r="P27" i="1" s="1"/>
  <c r="B25" i="1"/>
  <c r="P25" i="1" s="1"/>
  <c r="B23" i="1"/>
  <c r="P23" i="1" s="1"/>
  <c r="B21" i="1"/>
  <c r="P21" i="1" s="1"/>
  <c r="B19" i="1"/>
  <c r="P19" i="1" s="1"/>
  <c r="B17" i="1"/>
  <c r="P17" i="1" s="1"/>
  <c r="B15" i="1"/>
  <c r="P15" i="1" s="1"/>
  <c r="B13" i="1"/>
  <c r="P13" i="1" s="1"/>
  <c r="B11" i="1"/>
  <c r="P11" i="1" s="1"/>
  <c r="B9" i="1"/>
  <c r="P9" i="1" s="1"/>
  <c r="B7" i="1"/>
  <c r="P7" i="1" s="1"/>
  <c r="B5" i="1"/>
  <c r="P5" i="1" s="1"/>
  <c r="AR24" i="1" l="1"/>
  <c r="AV24" i="1"/>
  <c r="AV22" i="1"/>
  <c r="AT22" i="1"/>
  <c r="AR22" i="1"/>
  <c r="AV20" i="1"/>
  <c r="AR20" i="1"/>
</calcChain>
</file>

<file path=xl/sharedStrings.xml><?xml version="1.0" encoding="utf-8"?>
<sst xmlns="http://schemas.openxmlformats.org/spreadsheetml/2006/main" count="204" uniqueCount="112">
  <si>
    <t>Rom</t>
  </si>
  <si>
    <t>Frei Parken</t>
  </si>
  <si>
    <t>Gdingen</t>
  </si>
  <si>
    <t>Taipeh</t>
  </si>
  <si>
    <t>M. Bahn</t>
  </si>
  <si>
    <t>Tokio</t>
  </si>
  <si>
    <t>Barcelona</t>
  </si>
  <si>
    <t>Athen</t>
  </si>
  <si>
    <t>Istanbul</t>
  </si>
  <si>
    <t>Kiew</t>
  </si>
  <si>
    <t>Toronto</t>
  </si>
  <si>
    <t>M. Flug</t>
  </si>
  <si>
    <t>Shanghai</t>
  </si>
  <si>
    <t>Vancouver</t>
  </si>
  <si>
    <t>Sydney</t>
  </si>
  <si>
    <t>New York</t>
  </si>
  <si>
    <t>London</t>
  </si>
  <si>
    <t>M. Schiff</t>
  </si>
  <si>
    <t>Peking</t>
  </si>
  <si>
    <t>Hong Kong</t>
  </si>
  <si>
    <t>Jerusalem</t>
  </si>
  <si>
    <t>Paris</t>
  </si>
  <si>
    <t>Belgrad</t>
  </si>
  <si>
    <t>Kapstadt</t>
  </si>
  <si>
    <t>Riga</t>
  </si>
  <si>
    <t>Montreal</t>
  </si>
  <si>
    <t>M. Raumf.</t>
  </si>
  <si>
    <t>Solarkraft</t>
  </si>
  <si>
    <t>Windkraft</t>
  </si>
  <si>
    <t>Los</t>
  </si>
  <si>
    <t>Gemeinschaftsfeld 1</t>
  </si>
  <si>
    <t>Einkommensteuer</t>
  </si>
  <si>
    <t>Ereignisfeld 1</t>
  </si>
  <si>
    <t>nur zu Besuch</t>
  </si>
  <si>
    <t>Gemeinschaftsfeld 2</t>
  </si>
  <si>
    <t>Ereignisfeld 2</t>
  </si>
  <si>
    <t>Gehen Sie in das Gefängnis</t>
  </si>
  <si>
    <t>Gemeinschaftsfeld 3</t>
  </si>
  <si>
    <t>Ereignisfeld 3</t>
  </si>
  <si>
    <t>Zusatzsteuer</t>
  </si>
  <si>
    <t>Gefängnis</t>
  </si>
  <si>
    <t>Grundstück</t>
  </si>
  <si>
    <t>Grundstückswert</t>
  </si>
  <si>
    <t>Grundstücksmieten</t>
  </si>
  <si>
    <t>Miete</t>
  </si>
  <si>
    <t>1 Haus</t>
  </si>
  <si>
    <t>2 Häuser</t>
  </si>
  <si>
    <t>3 Häuser</t>
  </si>
  <si>
    <t>4 Häuser</t>
  </si>
  <si>
    <t>Hotel</t>
  </si>
  <si>
    <t>Kosten pro Haus</t>
  </si>
  <si>
    <t>Anzahl Häuser</t>
  </si>
  <si>
    <t>Besitzer</t>
  </si>
  <si>
    <t>Top Position</t>
  </si>
  <si>
    <t>Left Position</t>
  </si>
  <si>
    <t>Häuser positionieren</t>
  </si>
  <si>
    <t>Hypothekenwert</t>
  </si>
  <si>
    <t>belastet?</t>
  </si>
  <si>
    <t>nein</t>
  </si>
  <si>
    <t>Spieler 1</t>
  </si>
  <si>
    <t>Spieler 2</t>
  </si>
  <si>
    <t>aktiv</t>
  </si>
  <si>
    <t>inaktiv</t>
  </si>
  <si>
    <t>Gemein-schaftsfeld</t>
  </si>
  <si>
    <t>Einkommen-steuer              2.000 €</t>
  </si>
  <si>
    <t>Ereignisfeld</t>
  </si>
  <si>
    <t>Ereignis-feld</t>
  </si>
  <si>
    <t>Zusatz-steuer             1.000 €</t>
  </si>
  <si>
    <t>Barvermögen:</t>
  </si>
  <si>
    <t>komplette Straße?</t>
  </si>
  <si>
    <t>Geld in der Mitte:</t>
  </si>
  <si>
    <t>MONOPOLY WORLD</t>
  </si>
  <si>
    <t>Ereignisfelder</t>
  </si>
  <si>
    <t>Gemeinschaftsfelder</t>
  </si>
  <si>
    <t>FALSCH</t>
  </si>
  <si>
    <t>Farbwerte der Grundstücke</t>
  </si>
  <si>
    <t>R</t>
  </si>
  <si>
    <t>G</t>
  </si>
  <si>
    <t>B</t>
  </si>
  <si>
    <t>Vermögen Spieler 1</t>
  </si>
  <si>
    <t>Bargeld</t>
  </si>
  <si>
    <t>Grundstücke</t>
  </si>
  <si>
    <t>Häuser</t>
  </si>
  <si>
    <t>Hypotheken</t>
  </si>
  <si>
    <t>Eigenkapital</t>
  </si>
  <si>
    <t>Vermögen Spieler 2</t>
  </si>
  <si>
    <t xml:space="preserve">Die Daten werden alle </t>
  </si>
  <si>
    <t>Runden erhoben.</t>
  </si>
  <si>
    <t>Runde:</t>
  </si>
  <si>
    <t>Die Kapseln des London-Eye müssen geputzt werden. Zahle 500 €!</t>
  </si>
  <si>
    <t>Deine Fahrrad-Werkstatt in Peking, China macht einen Gewinn von 1.500 €.</t>
  </si>
  <si>
    <t>Du erhältst eine Steuerrückerstattung von 1.200 €!</t>
  </si>
  <si>
    <t>Du erbst 3.000 €.</t>
  </si>
  <si>
    <t>Du lässt deine Häuser renovieren. Zahle für jedes Haus 100 € und für jedes Hotel 500 €!</t>
  </si>
  <si>
    <t>Zahle Steuern in Höhe von 250 € nach.</t>
  </si>
  <si>
    <t>Du mietest ein Ferienhaus an der Côte d'Azur. Überweise 650 €.</t>
  </si>
  <si>
    <t>Du vermietest deinen Berg in den Alpen. Du bekommst 1.000 €.</t>
  </si>
  <si>
    <t>Dein Geldbeutel wird geklaut. In ihm waren 500 €.</t>
  </si>
  <si>
    <t>Du bist zu schnell gefahren. Zahle eine Gebühr von 400 €!</t>
  </si>
  <si>
    <t>Hotels</t>
  </si>
  <si>
    <r>
      <t>LOS!</t>
    </r>
    <r>
      <rPr>
        <sz val="8"/>
        <color theme="6" tint="-0.249977111117893"/>
        <rFont val="Arial"/>
        <family val="2"/>
      </rPr>
      <t xml:space="preserve">                      Ziehe 2.000 € ein!</t>
    </r>
  </si>
  <si>
    <r>
      <t>Frei Parken</t>
    </r>
    <r>
      <rPr>
        <sz val="8"/>
        <color theme="5" tint="0.39997558519241921"/>
        <rFont val="Arial"/>
        <family val="2"/>
      </rPr>
      <t xml:space="preserve">                  Du bekommst das Geld aus der Mitte</t>
    </r>
  </si>
  <si>
    <t>Beschriftung des Diagramms</t>
  </si>
  <si>
    <t>Max</t>
  </si>
  <si>
    <t>Min</t>
  </si>
  <si>
    <t>Winkel</t>
  </si>
  <si>
    <t>Radius</t>
  </si>
  <si>
    <t>X</t>
  </si>
  <si>
    <t>Y</t>
  </si>
  <si>
    <r>
      <rPr>
        <b/>
        <sz val="9"/>
        <color theme="1"/>
        <rFont val="Arial"/>
        <family val="2"/>
      </rPr>
      <t>Liquidität</t>
    </r>
    <r>
      <rPr>
        <b/>
        <sz val="8"/>
        <color theme="1"/>
        <rFont val="Arial"/>
        <family val="2"/>
      </rPr>
      <t xml:space="preserve"> </t>
    </r>
    <r>
      <rPr>
        <b/>
        <sz val="7"/>
        <color theme="1"/>
        <rFont val="Arial"/>
        <family val="2"/>
      </rPr>
      <t>(in Mio. €)</t>
    </r>
  </si>
  <si>
    <t>Name Spieler 1</t>
  </si>
  <si>
    <t>Name Spieler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</si>
</sst>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,##0\ &quot;€&quot;"/>
    <numFmt numFmtId="165" formatCode="#,##0.00\ [$€-407]"/>
    <numFmt numFmtId="166" formatCode="#,##0.00\ &quot;€&quot;"/>
  </numFmts>
  <fonts count="43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20"/>
      <color theme="1"/>
      <name val="Arial"/>
      <family val="2"/>
    </font>
    <font>
      <sz val="8"/>
      <color theme="1"/>
      <name val="Arial"/>
      <family val="2"/>
    </font>
    <font>
      <sz val="16"/>
      <color theme="1"/>
      <name val="Webdings"/>
      <family val="1"/>
      <charset val="2"/>
    </font>
    <font>
      <sz val="10"/>
      <color theme="0" tint="-0.14999847407452621"/>
      <name val="Arial"/>
      <family val="2"/>
    </font>
    <font>
      <sz val="10"/>
      <color theme="0" tint="-4.9989318521683403E-2"/>
      <name val="Arial"/>
      <family val="2"/>
    </font>
    <font>
      <sz val="5"/>
      <color theme="0" tint="-0.14999847407452621"/>
      <name val="Arial"/>
      <family val="2"/>
    </font>
    <font>
      <b/>
      <sz val="8"/>
      <color theme="1"/>
      <name val="Arial"/>
      <family val="2"/>
    </font>
    <font>
      <b/>
      <sz val="14"/>
      <color theme="1"/>
      <name val="Arial"/>
      <family val="2"/>
    </font>
    <font>
      <b/>
      <sz val="11"/>
      <color theme="2" tint="-0.499984740745262"/>
      <name val="Arial"/>
      <family val="2"/>
    </font>
    <font>
      <b/>
      <sz val="11"/>
      <color theme="3" tint="0.59999389629810485"/>
      <name val="Arial"/>
      <family val="2"/>
    </font>
    <font>
      <b/>
      <sz val="11"/>
      <color theme="5" tint="0.59999389629810485"/>
      <name val="Arial"/>
      <family val="2"/>
    </font>
    <font>
      <b/>
      <sz val="11"/>
      <color theme="9" tint="-0.249977111117893"/>
      <name val="Arial"/>
      <family val="2"/>
    </font>
    <font>
      <b/>
      <sz val="11"/>
      <color rgb="FFFF3300"/>
      <name val="Arial"/>
      <family val="2"/>
    </font>
    <font>
      <b/>
      <sz val="11"/>
      <color rgb="FFFFFF00"/>
      <name val="Arial"/>
      <family val="2"/>
    </font>
    <font>
      <b/>
      <sz val="11"/>
      <color theme="6" tint="-0.249977111117893"/>
      <name val="Arial"/>
      <family val="2"/>
    </font>
    <font>
      <b/>
      <sz val="11"/>
      <color theme="3" tint="0.39997558519241921"/>
      <name val="Arial"/>
      <family val="2"/>
    </font>
    <font>
      <b/>
      <sz val="11"/>
      <color theme="5" tint="-0.249977111117893"/>
      <name val="Arial"/>
      <family val="2"/>
    </font>
    <font>
      <b/>
      <sz val="11"/>
      <color theme="7" tint="0.39997558519241921"/>
      <name val="Arial"/>
      <family val="2"/>
    </font>
    <font>
      <b/>
      <sz val="11"/>
      <color theme="1"/>
      <name val="Arial"/>
      <family val="2"/>
    </font>
    <font>
      <b/>
      <sz val="11"/>
      <color rgb="FFFFC000"/>
      <name val="Arial"/>
      <family val="2"/>
    </font>
    <font>
      <b/>
      <sz val="16"/>
      <color theme="1"/>
      <name val="Arial"/>
      <family val="2"/>
    </font>
    <font>
      <b/>
      <i/>
      <u val="double"/>
      <sz val="28"/>
      <color theme="5" tint="-0.249977111117893"/>
      <name val="Arial"/>
      <family val="2"/>
    </font>
    <font>
      <sz val="10"/>
      <color rgb="FFFFFF66"/>
      <name val="Arial"/>
      <family val="2"/>
    </font>
    <font>
      <sz val="10"/>
      <color rgb="FFCCECFF"/>
      <name val="Arial"/>
      <family val="2"/>
    </font>
    <font>
      <sz val="10"/>
      <color theme="1"/>
      <name val="Wingdings"/>
      <charset val="2"/>
    </font>
    <font>
      <sz val="8"/>
      <color rgb="FF000000"/>
      <name val="Tahoma"/>
      <family val="2"/>
    </font>
    <font>
      <sz val="10"/>
      <color theme="0"/>
      <name val="Arial"/>
      <family val="2"/>
    </font>
    <font>
      <b/>
      <sz val="5"/>
      <color theme="0" tint="-0.14999847407452621"/>
      <name val="Arial"/>
      <family val="2"/>
    </font>
    <font>
      <b/>
      <sz val="10"/>
      <color rgb="FFFF0000"/>
      <name val="Arial"/>
      <family val="2"/>
    </font>
    <font>
      <b/>
      <sz val="14"/>
      <color rgb="FFFF0000"/>
      <name val="Arial"/>
      <family val="2"/>
    </font>
    <font>
      <b/>
      <sz val="24"/>
      <color theme="1"/>
      <name val="Wingdings"/>
      <charset val="2"/>
    </font>
    <font>
      <b/>
      <u/>
      <sz val="10"/>
      <color theme="1"/>
      <name val="Arial"/>
      <family val="2"/>
    </font>
    <font>
      <b/>
      <sz val="26"/>
      <color theme="1"/>
      <name val="Arial"/>
      <family val="2"/>
    </font>
    <font>
      <sz val="10"/>
      <color rgb="FF000000"/>
      <name val="Arial"/>
      <family val="2"/>
    </font>
    <font>
      <b/>
      <sz val="9"/>
      <color theme="3" tint="0.39997558519241921"/>
      <name val="Arial"/>
      <family val="2"/>
    </font>
    <font>
      <b/>
      <sz val="12"/>
      <color theme="5" tint="0.39997558519241921"/>
      <name val="Arial"/>
      <family val="2"/>
    </font>
    <font>
      <b/>
      <sz val="20"/>
      <color theme="6" tint="-0.249977111117893"/>
      <name val="Arial"/>
      <family val="2"/>
    </font>
    <font>
      <sz val="8"/>
      <color theme="6" tint="-0.249977111117893"/>
      <name val="Arial"/>
      <family val="2"/>
    </font>
    <font>
      <sz val="8"/>
      <color theme="5" tint="0.39997558519241921"/>
      <name val="Arial"/>
      <family val="2"/>
    </font>
    <font>
      <b/>
      <sz val="7"/>
      <color theme="1"/>
      <name val="Arial"/>
      <family val="2"/>
    </font>
    <font>
      <b/>
      <sz val="9"/>
      <color theme="1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13"/>
        <bgColor indexed="64"/>
      </patternFill>
    </fill>
    <fill>
      <patternFill patternType="lightVertical">
        <fgColor theme="0" tint="-0.34998626667073579"/>
        <bgColor theme="0"/>
      </patternFill>
    </fill>
    <fill>
      <patternFill patternType="lightDown">
        <bgColor theme="0" tint="-4.9989318521683403E-2"/>
      </patternFill>
    </fill>
    <fill>
      <patternFill patternType="solid">
        <fgColor rgb="FFEAEAEA"/>
        <bgColor rgb="FF00FF00"/>
      </patternFill>
    </fill>
    <fill>
      <patternFill patternType="solid">
        <fgColor theme="0"/>
        <bgColor rgb="FF00FF00"/>
      </patternFill>
    </fill>
    <fill>
      <patternFill patternType="lightVertical">
        <fgColor theme="0" tint="-0.34998626667073579"/>
        <bgColor rgb="FFFFFFFF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1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/>
      <right/>
      <top style="medium">
        <color rgb="FFFFC000"/>
      </top>
      <bottom/>
      <diagonal/>
    </border>
    <border>
      <left style="medium">
        <color rgb="FFFFC000"/>
      </left>
      <right/>
      <top/>
      <bottom/>
      <diagonal/>
    </border>
    <border>
      <left/>
      <right style="medium">
        <color rgb="FFFFC000"/>
      </right>
      <top/>
      <bottom/>
      <diagonal/>
    </border>
    <border>
      <left style="medium">
        <color rgb="FFFFC000"/>
      </left>
      <right/>
      <top/>
      <bottom style="medium">
        <color rgb="FFFFC000"/>
      </bottom>
      <diagonal/>
    </border>
    <border>
      <left/>
      <right/>
      <top/>
      <bottom style="medium">
        <color rgb="FFFFC000"/>
      </bottom>
      <diagonal/>
    </border>
    <border>
      <left/>
      <right style="medium">
        <color rgb="FFFFC000"/>
      </right>
      <top/>
      <bottom style="medium">
        <color rgb="FFFFC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/>
      <diagonal/>
    </border>
    <border>
      <left/>
      <right/>
      <top/>
      <bottom style="medium">
        <color theme="1" tint="0.34998626667073579"/>
      </bottom>
      <diagonal/>
    </border>
    <border>
      <left style="medium">
        <color theme="0" tint="-4.9989318521683403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 style="medium">
        <color theme="0" tint="-4.9989318521683403E-2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rgb="FFFFC000"/>
      </right>
      <top style="medium">
        <color rgb="FFFFC000"/>
      </top>
      <bottom/>
      <diagonal/>
    </border>
    <border>
      <left style="medium">
        <color rgb="FFFFC000"/>
      </left>
      <right/>
      <top style="medium">
        <color rgb="FFFFC000"/>
      </top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indexed="64"/>
      </right>
      <top style="medium">
        <color theme="0"/>
      </top>
      <bottom/>
      <diagonal/>
    </border>
    <border>
      <left style="medium">
        <color indexed="64"/>
      </left>
      <right style="thin">
        <color indexed="64"/>
      </right>
      <top style="medium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0"/>
      </top>
      <bottom style="thin">
        <color indexed="64"/>
      </bottom>
      <diagonal/>
    </border>
    <border>
      <left style="thin">
        <color indexed="64"/>
      </left>
      <right/>
      <top style="medium">
        <color theme="0"/>
      </top>
      <bottom/>
      <diagonal/>
    </border>
    <border>
      <left/>
      <right style="thin">
        <color indexed="64"/>
      </right>
      <top style="medium">
        <color theme="0"/>
      </top>
      <bottom/>
      <diagonal/>
    </border>
    <border>
      <left style="thin">
        <color indexed="64"/>
      </left>
      <right style="medium">
        <color indexed="64"/>
      </right>
      <top style="medium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/>
      <top/>
      <bottom style="medium">
        <color indexed="64"/>
      </bottom>
      <diagonal/>
    </border>
    <border>
      <left style="medium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/>
      </left>
      <right/>
      <top style="thin">
        <color indexed="64"/>
      </top>
      <bottom/>
      <diagonal/>
    </border>
    <border>
      <left style="medium">
        <color theme="0"/>
      </left>
      <right/>
      <top/>
      <bottom style="thin">
        <color indexed="64"/>
      </bottom>
      <diagonal/>
    </border>
    <border>
      <left style="medium">
        <color theme="0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0"/>
      </left>
      <right/>
      <top style="medium">
        <color indexed="64"/>
      </top>
      <bottom/>
      <diagonal/>
    </border>
    <border>
      <left/>
      <right style="medium">
        <color auto="1"/>
      </right>
      <top style="medium">
        <color theme="0" tint="-4.9989318521683403E-2"/>
      </top>
      <bottom/>
      <diagonal/>
    </border>
    <border>
      <left style="medium">
        <color theme="0" tint="-4.9989318521683403E-2"/>
      </left>
      <right/>
      <top/>
      <bottom style="medium">
        <color auto="1"/>
      </bottom>
      <diagonal/>
    </border>
    <border>
      <left style="medium">
        <color theme="3" tint="0.39994506668294322"/>
      </left>
      <right/>
      <top/>
      <bottom/>
      <diagonal/>
    </border>
    <border>
      <left/>
      <right style="medium">
        <color theme="3" tint="0.39994506668294322"/>
      </right>
      <top/>
      <bottom/>
      <diagonal/>
    </border>
    <border>
      <left style="medium">
        <color theme="3" tint="0.39994506668294322"/>
      </left>
      <right/>
      <top/>
      <bottom style="medium">
        <color theme="3" tint="0.39994506668294322"/>
      </bottom>
      <diagonal/>
    </border>
    <border>
      <left/>
      <right/>
      <top/>
      <bottom style="medium">
        <color theme="3" tint="0.39994506668294322"/>
      </bottom>
      <diagonal/>
    </border>
    <border>
      <left/>
      <right style="medium">
        <color theme="3" tint="0.39994506668294322"/>
      </right>
      <top/>
      <bottom style="medium">
        <color theme="3" tint="0.39994506668294322"/>
      </bottom>
      <diagonal/>
    </border>
    <border>
      <left style="medium">
        <color theme="3" tint="0.39994506668294322"/>
      </left>
      <right/>
      <top style="medium">
        <color theme="3" tint="0.39994506668294322"/>
      </top>
      <bottom/>
      <diagonal/>
    </border>
    <border>
      <left/>
      <right/>
      <top style="medium">
        <color theme="3" tint="0.39994506668294322"/>
      </top>
      <bottom/>
      <diagonal/>
    </border>
    <border>
      <left/>
      <right style="medium">
        <color theme="3" tint="0.39994506668294322"/>
      </right>
      <top style="medium">
        <color theme="3" tint="0.39994506668294322"/>
      </top>
      <bottom/>
      <diagonal/>
    </border>
    <border>
      <left style="medium">
        <color theme="3" tint="0.39994506668294322"/>
      </left>
      <right/>
      <top style="medium">
        <color theme="3" tint="0.39994506668294322"/>
      </top>
      <bottom style="medium">
        <color theme="3" tint="0.39994506668294322"/>
      </bottom>
      <diagonal/>
    </border>
    <border>
      <left/>
      <right/>
      <top style="medium">
        <color theme="3" tint="0.39994506668294322"/>
      </top>
      <bottom style="medium">
        <color theme="3" tint="0.39994506668294322"/>
      </bottom>
      <diagonal/>
    </border>
    <border>
      <left/>
      <right style="medium">
        <color theme="3" tint="0.39994506668294322"/>
      </right>
      <top style="medium">
        <color theme="3" tint="0.39994506668294322"/>
      </top>
      <bottom style="medium">
        <color theme="3" tint="0.39994506668294322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thin">
        <color theme="9"/>
      </right>
      <top style="thin">
        <color theme="9"/>
      </top>
      <bottom style="medium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medium">
        <color theme="9"/>
      </bottom>
      <diagonal/>
    </border>
    <border>
      <left style="thin">
        <color theme="9"/>
      </left>
      <right style="medium">
        <color theme="9"/>
      </right>
      <top style="thin">
        <color theme="9"/>
      </top>
      <bottom style="medium">
        <color theme="9"/>
      </bottom>
      <diagonal/>
    </border>
    <border>
      <left style="medium">
        <color theme="9"/>
      </left>
      <right/>
      <top style="medium">
        <color theme="9"/>
      </top>
      <bottom/>
      <diagonal/>
    </border>
    <border>
      <left/>
      <right/>
      <top style="medium">
        <color theme="9"/>
      </top>
      <bottom/>
      <diagonal/>
    </border>
    <border>
      <left style="medium">
        <color theme="9"/>
      </left>
      <right style="thin">
        <color theme="9"/>
      </right>
      <top/>
      <bottom style="thin">
        <color theme="9"/>
      </bottom>
      <diagonal/>
    </border>
    <border>
      <left style="thin">
        <color theme="9"/>
      </left>
      <right style="thin">
        <color theme="9"/>
      </right>
      <top/>
      <bottom style="thin">
        <color theme="9"/>
      </bottom>
      <diagonal/>
    </border>
    <border>
      <left style="thin">
        <color theme="9"/>
      </left>
      <right style="medium">
        <color theme="9"/>
      </right>
      <top/>
      <bottom style="thin">
        <color theme="9"/>
      </bottom>
      <diagonal/>
    </border>
    <border>
      <left style="medium">
        <color theme="9"/>
      </left>
      <right style="thin">
        <color theme="9"/>
      </right>
      <top style="medium">
        <color theme="9"/>
      </top>
      <bottom style="medium">
        <color theme="9"/>
      </bottom>
      <diagonal/>
    </border>
    <border>
      <left style="thin">
        <color theme="9"/>
      </left>
      <right style="thin">
        <color theme="9"/>
      </right>
      <top style="medium">
        <color theme="9"/>
      </top>
      <bottom style="medium">
        <color theme="9"/>
      </bottom>
      <diagonal/>
    </border>
    <border>
      <left style="thin">
        <color theme="9"/>
      </left>
      <right style="medium">
        <color theme="9"/>
      </right>
      <top style="medium">
        <color theme="9"/>
      </top>
      <bottom style="medium">
        <color theme="9"/>
      </bottom>
      <diagonal/>
    </border>
    <border>
      <left/>
      <right style="thin">
        <color theme="9"/>
      </right>
      <top style="medium">
        <color theme="9"/>
      </top>
      <bottom style="medium">
        <color theme="9"/>
      </bottom>
      <diagonal/>
    </border>
    <border>
      <left style="thin">
        <color theme="9"/>
      </left>
      <right/>
      <top style="medium">
        <color theme="9"/>
      </top>
      <bottom style="medium">
        <color theme="9"/>
      </bottom>
      <diagonal/>
    </border>
    <border>
      <left/>
      <right/>
      <top style="medium">
        <color theme="9"/>
      </top>
      <bottom style="medium">
        <color theme="9"/>
      </bottom>
      <diagonal/>
    </border>
    <border>
      <left/>
      <right style="medium">
        <color theme="9"/>
      </right>
      <top style="medium">
        <color theme="9"/>
      </top>
      <bottom style="medium">
        <color theme="9"/>
      </bottom>
      <diagonal/>
    </border>
    <border>
      <left/>
      <right style="medium">
        <color theme="0"/>
      </right>
      <top/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/>
      <diagonal/>
    </border>
    <border>
      <left/>
      <right/>
      <top style="medium">
        <color theme="1" tint="0.34998626667073579"/>
      </top>
      <bottom/>
      <diagonal/>
    </border>
    <border>
      <left/>
      <right style="medium">
        <color theme="0"/>
      </right>
      <top style="medium">
        <color theme="1" tint="0.34998626667073579"/>
      </top>
      <bottom/>
      <diagonal/>
    </border>
    <border>
      <left style="medium">
        <color theme="1" tint="0.34998626667073579"/>
      </left>
      <right/>
      <top/>
      <bottom/>
      <diagonal/>
    </border>
    <border>
      <left style="medium">
        <color theme="1" tint="0.34998626667073579"/>
      </left>
      <right/>
      <top/>
      <bottom style="medium">
        <color theme="0"/>
      </bottom>
      <diagonal/>
    </border>
    <border>
      <left style="medium">
        <color theme="3" tint="0.39994506668294322"/>
      </left>
      <right style="medium">
        <color theme="0"/>
      </right>
      <top/>
      <bottom/>
      <diagonal/>
    </border>
    <border>
      <left style="medium">
        <color indexed="64"/>
      </left>
      <right style="medium">
        <color rgb="FFFFC000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theme="9"/>
      </left>
      <right/>
      <top style="medium">
        <color theme="9"/>
      </top>
      <bottom style="medium">
        <color theme="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medium">
        <color theme="1" tint="0.24994659260841701"/>
      </left>
      <right/>
      <top style="medium">
        <color theme="1" tint="0.24994659260841701"/>
      </top>
      <bottom/>
      <diagonal/>
    </border>
    <border>
      <left/>
      <right/>
      <top style="medium">
        <color theme="1" tint="0.24994659260841701"/>
      </top>
      <bottom/>
      <diagonal/>
    </border>
    <border>
      <left/>
      <right style="medium">
        <color theme="1" tint="0.24994659260841701"/>
      </right>
      <top style="medium">
        <color theme="1" tint="0.24994659260841701"/>
      </top>
      <bottom/>
      <diagonal/>
    </border>
    <border>
      <left style="medium">
        <color theme="1" tint="0.24994659260841701"/>
      </left>
      <right/>
      <top/>
      <bottom style="medium">
        <color theme="1" tint="0.34998626667073579"/>
      </bottom>
      <diagonal/>
    </border>
    <border>
      <left/>
      <right style="medium">
        <color theme="1" tint="0.24994659260841701"/>
      </right>
      <top/>
      <bottom style="medium">
        <color theme="1" tint="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medium">
        <color theme="0"/>
      </bottom>
      <diagonal/>
    </border>
    <border>
      <left style="medium">
        <color theme="0" tint="-0.499984740745262"/>
      </left>
      <right/>
      <top/>
      <bottom/>
      <diagonal/>
    </border>
    <border>
      <left style="thin">
        <color indexed="64"/>
      </left>
      <right/>
      <top style="medium">
        <color theme="0"/>
      </top>
      <bottom style="thin">
        <color indexed="64"/>
      </bottom>
      <diagonal/>
    </border>
    <border>
      <left/>
      <right style="thin">
        <color indexed="64"/>
      </right>
      <top style="medium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theme="0"/>
      </left>
      <right style="thin">
        <color indexed="64"/>
      </right>
      <top style="thin">
        <color indexed="64"/>
      </top>
      <bottom/>
      <diagonal/>
    </border>
    <border>
      <left style="medium">
        <color theme="0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478">
    <xf numFmtId="0" fontId="0" fillId="0" borderId="0" xfId="0"/>
    <xf numFmtId="0" fontId="0" fillId="14" borderId="0" xfId="0" applyFill="1"/>
    <xf numFmtId="0" fontId="0" fillId="14" borderId="0" xfId="0" applyFill="1" applyBorder="1" applyAlignment="1">
      <alignment horizontal="center" textRotation="180"/>
    </xf>
    <xf numFmtId="0" fontId="0" fillId="14" borderId="0" xfId="0" applyFill="1" applyBorder="1" applyAlignment="1">
      <alignment horizontal="center"/>
    </xf>
    <xf numFmtId="0" fontId="3" fillId="14" borderId="0" xfId="0" applyFont="1" applyFill="1" applyBorder="1" applyAlignment="1">
      <alignment horizontal="center" vertical="center"/>
    </xf>
    <xf numFmtId="0" fontId="2" fillId="14" borderId="0" xfId="0" applyFont="1" applyFill="1" applyBorder="1" applyAlignment="1">
      <alignment horizontal="center" vertical="center" textRotation="45"/>
    </xf>
    <xf numFmtId="0" fontId="0" fillId="14" borderId="0" xfId="0" applyFill="1" applyBorder="1"/>
    <xf numFmtId="0" fontId="5" fillId="14" borderId="0" xfId="0" applyFont="1" applyFill="1"/>
    <xf numFmtId="0" fontId="7" fillId="14" borderId="0" xfId="0" applyFont="1" applyFill="1" applyAlignment="1">
      <alignment horizontal="center" vertical="center"/>
    </xf>
    <xf numFmtId="0" fontId="9" fillId="13" borderId="0" xfId="0" applyFont="1" applyFill="1" applyBorder="1" applyAlignment="1">
      <alignment vertical="center"/>
    </xf>
    <xf numFmtId="0" fontId="0" fillId="13" borderId="23" xfId="0" applyFont="1" applyFill="1" applyBorder="1"/>
    <xf numFmtId="0" fontId="0" fillId="13" borderId="0" xfId="0" applyFont="1" applyFill="1" applyBorder="1"/>
    <xf numFmtId="0" fontId="0" fillId="16" borderId="0" xfId="0" applyFont="1" applyFill="1" applyBorder="1" applyAlignment="1">
      <alignment vertical="center"/>
    </xf>
    <xf numFmtId="0" fontId="0" fillId="16" borderId="0" xfId="0" applyFont="1" applyFill="1" applyBorder="1"/>
    <xf numFmtId="0" fontId="0" fillId="16" borderId="76" xfId="0" applyFont="1" applyFill="1" applyBorder="1"/>
    <xf numFmtId="0" fontId="26" fillId="14" borderId="0" xfId="0" applyFont="1" applyFill="1"/>
    <xf numFmtId="0" fontId="0" fillId="21" borderId="1" xfId="0" applyFill="1" applyBorder="1" applyAlignment="1"/>
    <xf numFmtId="0" fontId="0" fillId="21" borderId="2" xfId="0" applyFill="1" applyBorder="1" applyAlignment="1"/>
    <xf numFmtId="0" fontId="0" fillId="21" borderId="3" xfId="0" applyFill="1" applyBorder="1" applyAlignment="1"/>
    <xf numFmtId="0" fontId="0" fillId="21" borderId="4" xfId="0" applyFill="1" applyBorder="1" applyAlignment="1"/>
    <xf numFmtId="0" fontId="0" fillId="21" borderId="0" xfId="0" applyFill="1" applyBorder="1" applyAlignment="1"/>
    <xf numFmtId="0" fontId="0" fillId="21" borderId="5" xfId="0" applyFill="1" applyBorder="1" applyAlignment="1"/>
    <xf numFmtId="0" fontId="0" fillId="21" borderId="6" xfId="0" applyFill="1" applyBorder="1" applyAlignment="1"/>
    <xf numFmtId="0" fontId="0" fillId="21" borderId="7" xfId="0" applyFill="1" applyBorder="1" applyAlignment="1"/>
    <xf numFmtId="0" fontId="0" fillId="21" borderId="8" xfId="0" applyFill="1" applyBorder="1" applyAlignment="1"/>
    <xf numFmtId="0" fontId="29" fillId="14" borderId="0" xfId="0" applyFont="1" applyFill="1" applyAlignment="1">
      <alignment horizontal="center" vertical="center"/>
    </xf>
    <xf numFmtId="0" fontId="30" fillId="14" borderId="0" xfId="0" applyFont="1" applyFill="1"/>
    <xf numFmtId="0" fontId="0" fillId="15" borderId="116" xfId="0" applyFill="1" applyBorder="1" applyAlignment="1"/>
    <xf numFmtId="0" fontId="0" fillId="15" borderId="117" xfId="0" applyFill="1" applyBorder="1" applyAlignment="1"/>
    <xf numFmtId="0" fontId="0" fillId="15" borderId="118" xfId="0" applyFill="1" applyBorder="1" applyAlignment="1"/>
    <xf numFmtId="0" fontId="0" fillId="14" borderId="0" xfId="0" applyFill="1" applyAlignment="1">
      <alignment horizontal="left"/>
    </xf>
    <xf numFmtId="0" fontId="0" fillId="14" borderId="124" xfId="0" applyFill="1" applyBorder="1" applyAlignment="1">
      <alignment horizontal="center"/>
    </xf>
    <xf numFmtId="0" fontId="0" fillId="14" borderId="0" xfId="0" applyFill="1" applyAlignment="1">
      <alignment horizontal="center"/>
    </xf>
    <xf numFmtId="0" fontId="1" fillId="14" borderId="0" xfId="0" applyFont="1" applyFill="1" applyAlignment="1">
      <alignment horizontal="center" vertical="center"/>
    </xf>
    <xf numFmtId="0" fontId="23" fillId="21" borderId="0" xfId="0" applyFont="1" applyFill="1" applyBorder="1" applyAlignment="1">
      <alignment vertical="center"/>
    </xf>
    <xf numFmtId="0" fontId="0" fillId="14" borderId="0" xfId="0" applyFill="1" applyBorder="1" applyProtection="1"/>
    <xf numFmtId="0" fontId="0" fillId="14" borderId="0" xfId="0" applyFill="1" applyProtection="1"/>
    <xf numFmtId="0" fontId="5" fillId="14" borderId="0" xfId="0" applyFont="1" applyFill="1" applyProtection="1"/>
    <xf numFmtId="0" fontId="1" fillId="15" borderId="92" xfId="0" applyFont="1" applyFill="1" applyBorder="1" applyProtection="1"/>
    <xf numFmtId="0" fontId="1" fillId="15" borderId="93" xfId="0" applyFont="1" applyFill="1" applyBorder="1" applyProtection="1"/>
    <xf numFmtId="0" fontId="1" fillId="15" borderId="100" xfId="0" applyFont="1" applyFill="1" applyBorder="1" applyProtection="1"/>
    <xf numFmtId="0" fontId="1" fillId="15" borderId="93" xfId="0" applyFont="1" applyFill="1" applyBorder="1" applyAlignment="1" applyProtection="1">
      <alignment horizontal="center"/>
    </xf>
    <xf numFmtId="0" fontId="1" fillId="14" borderId="125" xfId="0" applyFont="1" applyFill="1" applyBorder="1" applyAlignment="1" applyProtection="1"/>
    <xf numFmtId="0" fontId="1" fillId="14" borderId="126" xfId="0" applyFont="1" applyFill="1" applyBorder="1" applyAlignment="1" applyProtection="1"/>
    <xf numFmtId="0" fontId="1" fillId="15" borderId="97" xfId="0" applyFont="1" applyFill="1" applyBorder="1" applyProtection="1"/>
    <xf numFmtId="0" fontId="1" fillId="15" borderId="98" xfId="0" applyFont="1" applyFill="1" applyBorder="1" applyProtection="1"/>
    <xf numFmtId="0" fontId="1" fillId="15" borderId="98" xfId="0" applyFont="1" applyFill="1" applyBorder="1" applyAlignment="1" applyProtection="1">
      <alignment horizontal="center"/>
    </xf>
    <xf numFmtId="0" fontId="1" fillId="15" borderId="99" xfId="0" applyFont="1" applyFill="1" applyBorder="1" applyAlignment="1" applyProtection="1">
      <alignment horizontal="center"/>
    </xf>
    <xf numFmtId="0" fontId="0" fillId="14" borderId="42" xfId="0" applyFill="1" applyBorder="1" applyProtection="1"/>
    <xf numFmtId="166" fontId="0" fillId="14" borderId="44" xfId="0" applyNumberFormat="1" applyFill="1" applyBorder="1" applyProtection="1"/>
    <xf numFmtId="0" fontId="1" fillId="15" borderId="94" xfId="0" applyFont="1" applyFill="1" applyBorder="1" applyProtection="1"/>
    <xf numFmtId="0" fontId="1" fillId="15" borderId="95" xfId="0" applyFont="1" applyFill="1" applyBorder="1" applyProtection="1"/>
    <xf numFmtId="164" fontId="0" fillId="15" borderId="95" xfId="0" applyNumberFormat="1" applyFill="1" applyBorder="1" applyProtection="1"/>
    <xf numFmtId="0" fontId="0" fillId="15" borderId="95" xfId="0" applyFill="1" applyBorder="1" applyAlignment="1" applyProtection="1">
      <alignment horizontal="center"/>
    </xf>
    <xf numFmtId="0" fontId="0" fillId="15" borderId="95" xfId="0" applyFill="1" applyBorder="1" applyProtection="1"/>
    <xf numFmtId="0" fontId="0" fillId="15" borderId="95" xfId="0" quotePrefix="1" applyFill="1" applyBorder="1" applyAlignment="1" applyProtection="1">
      <alignment horizontal="center"/>
    </xf>
    <xf numFmtId="165" fontId="0" fillId="15" borderId="95" xfId="0" quotePrefix="1" applyNumberFormat="1" applyFill="1" applyBorder="1" applyAlignment="1" applyProtection="1">
      <alignment horizontal="center"/>
    </xf>
    <xf numFmtId="0" fontId="0" fillId="15" borderId="96" xfId="0" applyFill="1" applyBorder="1" applyAlignment="1" applyProtection="1">
      <alignment horizontal="center"/>
    </xf>
    <xf numFmtId="1" fontId="0" fillId="15" borderId="95" xfId="0" quotePrefix="1" applyNumberFormat="1" applyFill="1" applyBorder="1" applyAlignment="1" applyProtection="1">
      <alignment horizontal="center"/>
    </xf>
    <xf numFmtId="1" fontId="0" fillId="15" borderId="96" xfId="0" quotePrefix="1" applyNumberFormat="1" applyFill="1" applyBorder="1" applyAlignment="1" applyProtection="1">
      <alignment horizontal="center"/>
    </xf>
    <xf numFmtId="0" fontId="0" fillId="14" borderId="10" xfId="0" applyFill="1" applyBorder="1" applyProtection="1"/>
    <xf numFmtId="166" fontId="0" fillId="14" borderId="12" xfId="0" applyNumberFormat="1" applyFill="1" applyBorder="1" applyProtection="1"/>
    <xf numFmtId="0" fontId="1" fillId="15" borderId="87" xfId="0" applyFont="1" applyFill="1" applyBorder="1" applyProtection="1"/>
    <xf numFmtId="0" fontId="1" fillId="15" borderId="86" xfId="0" applyFont="1" applyFill="1" applyBorder="1" applyProtection="1"/>
    <xf numFmtId="164" fontId="0" fillId="15" borderId="86" xfId="0" quotePrefix="1" applyNumberFormat="1" applyFill="1" applyBorder="1" applyProtection="1"/>
    <xf numFmtId="164" fontId="0" fillId="15" borderId="86" xfId="0" applyNumberFormat="1" applyFill="1" applyBorder="1" applyAlignment="1" applyProtection="1">
      <alignment horizontal="center"/>
    </xf>
    <xf numFmtId="164" fontId="0" fillId="15" borderId="86" xfId="0" applyNumberFormat="1" applyFill="1" applyBorder="1" applyProtection="1"/>
    <xf numFmtId="1" fontId="0" fillId="15" borderId="86" xfId="0" applyNumberFormat="1" applyFill="1" applyBorder="1" applyAlignment="1" applyProtection="1">
      <alignment horizontal="center"/>
    </xf>
    <xf numFmtId="165" fontId="0" fillId="15" borderId="86" xfId="0" applyNumberFormat="1" applyFill="1" applyBorder="1" applyAlignment="1" applyProtection="1">
      <alignment horizontal="center"/>
    </xf>
    <xf numFmtId="0" fontId="0" fillId="15" borderId="86" xfId="0" applyFill="1" applyBorder="1" applyAlignment="1" applyProtection="1">
      <alignment horizontal="center"/>
    </xf>
    <xf numFmtId="0" fontId="0" fillId="15" borderId="88" xfId="0" applyFill="1" applyBorder="1" applyAlignment="1" applyProtection="1">
      <alignment horizontal="center"/>
    </xf>
    <xf numFmtId="1" fontId="0" fillId="15" borderId="88" xfId="0" applyNumberFormat="1" applyFill="1" applyBorder="1" applyAlignment="1" applyProtection="1">
      <alignment horizontal="center"/>
    </xf>
    <xf numFmtId="0" fontId="0" fillId="14" borderId="46" xfId="0" applyFill="1" applyBorder="1" applyProtection="1"/>
    <xf numFmtId="166" fontId="0" fillId="14" borderId="47" xfId="0" applyNumberFormat="1" applyFill="1" applyBorder="1" applyProtection="1"/>
    <xf numFmtId="0" fontId="1" fillId="14" borderId="125" xfId="0" applyFont="1" applyFill="1" applyBorder="1" applyProtection="1"/>
    <xf numFmtId="0" fontId="1" fillId="14" borderId="126" xfId="0" applyFont="1" applyFill="1" applyBorder="1" applyProtection="1"/>
    <xf numFmtId="0" fontId="1" fillId="15" borderId="89" xfId="0" applyFont="1" applyFill="1" applyBorder="1" applyProtection="1"/>
    <xf numFmtId="0" fontId="1" fillId="15" borderId="90" xfId="0" applyFont="1" applyFill="1" applyBorder="1" applyProtection="1"/>
    <xf numFmtId="164" fontId="0" fillId="15" borderId="90" xfId="0" applyNumberFormat="1" applyFill="1" applyBorder="1" applyProtection="1"/>
    <xf numFmtId="164" fontId="0" fillId="15" borderId="90" xfId="0" applyNumberFormat="1" applyFill="1" applyBorder="1" applyAlignment="1" applyProtection="1">
      <alignment horizontal="center"/>
    </xf>
    <xf numFmtId="0" fontId="0" fillId="15" borderId="90" xfId="0" applyFill="1" applyBorder="1" applyProtection="1"/>
    <xf numFmtId="1" fontId="0" fillId="15" borderId="90" xfId="0" applyNumberFormat="1" applyFill="1" applyBorder="1" applyAlignment="1" applyProtection="1">
      <alignment horizontal="center"/>
    </xf>
    <xf numFmtId="165" fontId="0" fillId="15" borderId="90" xfId="0" applyNumberFormat="1" applyFill="1" applyBorder="1" applyAlignment="1" applyProtection="1">
      <alignment horizontal="center"/>
    </xf>
    <xf numFmtId="0" fontId="0" fillId="15" borderId="90" xfId="0" applyFill="1" applyBorder="1" applyAlignment="1" applyProtection="1">
      <alignment horizontal="center"/>
    </xf>
    <xf numFmtId="0" fontId="0" fillId="15" borderId="91" xfId="0" applyFill="1" applyBorder="1" applyAlignment="1" applyProtection="1">
      <alignment horizontal="center"/>
    </xf>
    <xf numFmtId="1" fontId="0" fillId="15" borderId="91" xfId="0" applyNumberFormat="1" applyFill="1" applyBorder="1" applyAlignment="1" applyProtection="1">
      <alignment horizontal="center"/>
    </xf>
    <xf numFmtId="0" fontId="0" fillId="14" borderId="0" xfId="0" applyFill="1" applyAlignment="1" applyProtection="1"/>
    <xf numFmtId="0" fontId="0" fillId="14" borderId="0" xfId="0" quotePrefix="1" applyFill="1" applyProtection="1"/>
    <xf numFmtId="0" fontId="1" fillId="14" borderId="0" xfId="0" applyFont="1" applyFill="1"/>
    <xf numFmtId="165" fontId="0" fillId="14" borderId="0" xfId="0" applyNumberFormat="1" applyFont="1" applyFill="1" applyAlignment="1">
      <alignment horizontal="right" vertical="center"/>
    </xf>
    <xf numFmtId="165" fontId="0" fillId="14" borderId="0" xfId="0" applyNumberFormat="1" applyFill="1"/>
    <xf numFmtId="165" fontId="0" fillId="14" borderId="0" xfId="0" applyNumberFormat="1" applyFont="1" applyFill="1" applyAlignment="1">
      <alignment horizontal="right"/>
    </xf>
    <xf numFmtId="0" fontId="0" fillId="14" borderId="11" xfId="0" applyFill="1" applyBorder="1"/>
    <xf numFmtId="0" fontId="1" fillId="26" borderId="11" xfId="0" applyFont="1" applyFill="1" applyBorder="1" applyAlignment="1">
      <alignment horizontal="center"/>
    </xf>
    <xf numFmtId="2" fontId="0" fillId="14" borderId="11" xfId="0" applyNumberFormat="1" applyFill="1" applyBorder="1"/>
    <xf numFmtId="2" fontId="0" fillId="14" borderId="11" xfId="0" applyNumberFormat="1" applyFill="1" applyBorder="1" applyAlignment="1">
      <alignment horizontal="center"/>
    </xf>
    <xf numFmtId="0" fontId="0" fillId="18" borderId="0" xfId="0" applyFill="1" applyBorder="1" applyAlignment="1"/>
    <xf numFmtId="0" fontId="0" fillId="18" borderId="131" xfId="0" applyFill="1" applyBorder="1" applyAlignment="1"/>
    <xf numFmtId="0" fontId="0" fillId="18" borderId="104" xfId="0" applyFill="1" applyBorder="1" applyAlignment="1"/>
    <xf numFmtId="0" fontId="0" fillId="18" borderId="130" xfId="0" applyFill="1" applyBorder="1" applyAlignment="1"/>
    <xf numFmtId="0" fontId="0" fillId="18" borderId="105" xfId="0" applyFill="1" applyBorder="1" applyAlignment="1"/>
    <xf numFmtId="0" fontId="0" fillId="18" borderId="106" xfId="0" applyFill="1" applyBorder="1" applyAlignment="1"/>
    <xf numFmtId="0" fontId="0" fillId="18" borderId="127" xfId="0" applyFill="1" applyBorder="1" applyAlignment="1"/>
    <xf numFmtId="0" fontId="0" fillId="18" borderId="129" xfId="0" applyFill="1" applyBorder="1" applyAlignment="1"/>
    <xf numFmtId="0" fontId="0" fillId="14" borderId="0" xfId="0" applyFill="1" applyAlignment="1" applyProtection="1">
      <alignment horizontal="center"/>
    </xf>
    <xf numFmtId="0" fontId="0" fillId="14" borderId="0" xfId="0" applyFill="1" applyAlignment="1" applyProtection="1">
      <alignment horizontal="left"/>
    </xf>
    <xf numFmtId="0" fontId="32" fillId="13" borderId="23" xfId="0" applyFont="1" applyFill="1" applyBorder="1" applyAlignment="1">
      <alignment horizontal="center"/>
    </xf>
    <xf numFmtId="0" fontId="32" fillId="13" borderId="0" xfId="0" applyFont="1" applyFill="1" applyBorder="1" applyAlignment="1">
      <alignment horizontal="center"/>
    </xf>
    <xf numFmtId="0" fontId="32" fillId="16" borderId="0" xfId="0" applyFont="1" applyFill="1" applyBorder="1" applyAlignment="1">
      <alignment horizontal="center" vertical="center"/>
    </xf>
    <xf numFmtId="0" fontId="32" fillId="16" borderId="76" xfId="0" applyFont="1" applyFill="1" applyBorder="1" applyAlignment="1">
      <alignment horizontal="center" vertical="center"/>
    </xf>
    <xf numFmtId="0" fontId="5" fillId="14" borderId="0" xfId="0" applyFont="1" applyFill="1" applyBorder="1" applyAlignment="1">
      <alignment horizontal="center"/>
    </xf>
    <xf numFmtId="0" fontId="18" fillId="13" borderId="0" xfId="0" applyFont="1" applyFill="1" applyBorder="1" applyAlignment="1">
      <alignment horizontal="center" vertical="center"/>
    </xf>
    <xf numFmtId="0" fontId="18" fillId="13" borderId="24" xfId="0" applyFont="1" applyFill="1" applyBorder="1" applyAlignment="1">
      <alignment horizontal="center" vertical="center"/>
    </xf>
    <xf numFmtId="0" fontId="24" fillId="13" borderId="23" xfId="0" applyFont="1" applyFill="1" applyBorder="1" applyAlignment="1">
      <alignment horizontal="center"/>
    </xf>
    <xf numFmtId="0" fontId="24" fillId="13" borderId="0" xfId="0" applyFont="1" applyFill="1" applyBorder="1" applyAlignment="1">
      <alignment horizontal="center"/>
    </xf>
    <xf numFmtId="0" fontId="25" fillId="16" borderId="0" xfId="0" applyFont="1" applyFill="1" applyBorder="1" applyAlignment="1">
      <alignment horizontal="center" vertical="center"/>
    </xf>
    <xf numFmtId="0" fontId="25" fillId="16" borderId="76" xfId="0" applyFont="1" applyFill="1" applyBorder="1" applyAlignment="1">
      <alignment horizontal="center" vertical="center"/>
    </xf>
    <xf numFmtId="0" fontId="11" fillId="13" borderId="0" xfId="0" applyFont="1" applyFill="1" applyBorder="1" applyAlignment="1">
      <alignment horizontal="center" vertical="center"/>
    </xf>
    <xf numFmtId="0" fontId="11" fillId="13" borderId="24" xfId="0" applyFont="1" applyFill="1" applyBorder="1" applyAlignment="1">
      <alignment horizontal="center" vertical="center"/>
    </xf>
    <xf numFmtId="0" fontId="12" fillId="13" borderId="0" xfId="0" applyFont="1" applyFill="1" applyBorder="1" applyAlignment="1">
      <alignment horizontal="center" vertical="center"/>
    </xf>
    <xf numFmtId="0" fontId="12" fillId="13" borderId="24" xfId="0" applyFont="1" applyFill="1" applyBorder="1" applyAlignment="1">
      <alignment horizontal="center" vertical="center"/>
    </xf>
    <xf numFmtId="0" fontId="13" fillId="13" borderId="0" xfId="0" applyFont="1" applyFill="1" applyBorder="1" applyAlignment="1">
      <alignment horizontal="center" vertical="center"/>
    </xf>
    <xf numFmtId="0" fontId="13" fillId="13" borderId="24" xfId="0" applyFont="1" applyFill="1" applyBorder="1" applyAlignment="1">
      <alignment horizontal="center" vertical="center"/>
    </xf>
    <xf numFmtId="0" fontId="4" fillId="12" borderId="34" xfId="0" applyFont="1" applyFill="1" applyBorder="1" applyAlignment="1">
      <alignment horizontal="center"/>
    </xf>
    <xf numFmtId="0" fontId="4" fillId="12" borderId="0" xfId="0" applyFont="1" applyFill="1" applyBorder="1" applyAlignment="1">
      <alignment horizontal="center"/>
    </xf>
    <xf numFmtId="0" fontId="4" fillId="12" borderId="74" xfId="0" applyFont="1" applyFill="1" applyBorder="1" applyAlignment="1">
      <alignment horizontal="center"/>
    </xf>
    <xf numFmtId="0" fontId="4" fillId="12" borderId="7" xfId="0" applyFont="1" applyFill="1" applyBorder="1" applyAlignment="1">
      <alignment horizontal="center"/>
    </xf>
    <xf numFmtId="0" fontId="4" fillId="12" borderId="5" xfId="0" applyFont="1" applyFill="1" applyBorder="1" applyAlignment="1">
      <alignment horizontal="center"/>
    </xf>
    <xf numFmtId="0" fontId="4" fillId="12" borderId="8" xfId="0" applyFont="1" applyFill="1" applyBorder="1" applyAlignment="1">
      <alignment horizontal="center"/>
    </xf>
    <xf numFmtId="0" fontId="31" fillId="14" borderId="112" xfId="0" applyFont="1" applyFill="1" applyBorder="1" applyAlignment="1">
      <alignment horizontal="center" vertical="center"/>
    </xf>
    <xf numFmtId="0" fontId="33" fillId="18" borderId="127" xfId="0" applyFont="1" applyFill="1" applyBorder="1" applyAlignment="1">
      <alignment horizontal="center" vertical="center"/>
    </xf>
    <xf numFmtId="0" fontId="33" fillId="18" borderId="128" xfId="0" applyFont="1" applyFill="1" applyBorder="1" applyAlignment="1">
      <alignment horizontal="center" vertical="center"/>
    </xf>
    <xf numFmtId="0" fontId="33" fillId="18" borderId="129" xfId="0" applyFont="1" applyFill="1" applyBorder="1" applyAlignment="1">
      <alignment horizontal="center" vertical="center"/>
    </xf>
    <xf numFmtId="0" fontId="33" fillId="18" borderId="131" xfId="0" applyFont="1" applyFill="1" applyBorder="1" applyAlignment="1">
      <alignment horizontal="center" vertical="center"/>
    </xf>
    <xf numFmtId="0" fontId="33" fillId="18" borderId="0" xfId="0" applyFont="1" applyFill="1" applyBorder="1" applyAlignment="1">
      <alignment horizontal="center" vertical="center"/>
    </xf>
    <xf numFmtId="0" fontId="33" fillId="18" borderId="104" xfId="0" applyFont="1" applyFill="1" applyBorder="1" applyAlignment="1">
      <alignment horizontal="center" vertical="center"/>
    </xf>
    <xf numFmtId="0" fontId="34" fillId="18" borderId="127" xfId="0" applyFont="1" applyFill="1" applyBorder="1" applyAlignment="1">
      <alignment horizontal="center" vertical="center"/>
    </xf>
    <xf numFmtId="0" fontId="34" fillId="18" borderId="128" xfId="0" applyFont="1" applyFill="1" applyBorder="1" applyAlignment="1">
      <alignment horizontal="center" vertical="center"/>
    </xf>
    <xf numFmtId="0" fontId="34" fillId="18" borderId="129" xfId="0" applyFont="1" applyFill="1" applyBorder="1" applyAlignment="1">
      <alignment horizontal="center" vertical="center"/>
    </xf>
    <xf numFmtId="0" fontId="34" fillId="18" borderId="131" xfId="0" applyFont="1" applyFill="1" applyBorder="1" applyAlignment="1">
      <alignment horizontal="center" vertical="center"/>
    </xf>
    <xf numFmtId="0" fontId="34" fillId="18" borderId="0" xfId="0" applyFont="1" applyFill="1" applyBorder="1" applyAlignment="1">
      <alignment horizontal="center" vertical="center"/>
    </xf>
    <xf numFmtId="0" fontId="34" fillId="18" borderId="104" xfId="0" applyFont="1" applyFill="1" applyBorder="1" applyAlignment="1">
      <alignment horizontal="center" vertical="center"/>
    </xf>
    <xf numFmtId="0" fontId="34" fillId="18" borderId="130" xfId="0" applyFont="1" applyFill="1" applyBorder="1" applyAlignment="1">
      <alignment horizontal="center" vertical="center"/>
    </xf>
    <xf numFmtId="0" fontId="34" fillId="18" borderId="105" xfId="0" applyFont="1" applyFill="1" applyBorder="1" applyAlignment="1">
      <alignment horizontal="center" vertical="center"/>
    </xf>
    <xf numFmtId="0" fontId="34" fillId="18" borderId="106" xfId="0" applyFont="1" applyFill="1" applyBorder="1" applyAlignment="1">
      <alignment horizontal="center" vertical="center"/>
    </xf>
    <xf numFmtId="0" fontId="14" fillId="13" borderId="0" xfId="0" applyFont="1" applyFill="1" applyBorder="1" applyAlignment="1">
      <alignment horizontal="center" vertical="center"/>
    </xf>
    <xf numFmtId="0" fontId="14" fillId="13" borderId="24" xfId="0" applyFont="1" applyFill="1" applyBorder="1" applyAlignment="1">
      <alignment horizontal="center" vertical="center"/>
    </xf>
    <xf numFmtId="0" fontId="21" fillId="13" borderId="0" xfId="0" applyFont="1" applyFill="1" applyBorder="1" applyAlignment="1">
      <alignment horizontal="center" vertical="center"/>
    </xf>
    <xf numFmtId="0" fontId="21" fillId="13" borderId="24" xfId="0" applyFont="1" applyFill="1" applyBorder="1" applyAlignment="1">
      <alignment horizontal="center" vertical="center"/>
    </xf>
    <xf numFmtId="0" fontId="16" fillId="13" borderId="0" xfId="0" applyFont="1" applyFill="1" applyBorder="1" applyAlignment="1">
      <alignment horizontal="center" vertical="center"/>
    </xf>
    <xf numFmtId="0" fontId="16" fillId="13" borderId="24" xfId="0" applyFont="1" applyFill="1" applyBorder="1" applyAlignment="1">
      <alignment horizontal="center" vertical="center"/>
    </xf>
    <xf numFmtId="0" fontId="0" fillId="16" borderId="0" xfId="0" applyFont="1" applyFill="1" applyBorder="1" applyAlignment="1">
      <alignment horizontal="center" vertical="center"/>
    </xf>
    <xf numFmtId="0" fontId="0" fillId="16" borderId="76" xfId="0" applyFont="1" applyFill="1" applyBorder="1" applyAlignment="1">
      <alignment horizontal="center" vertical="center"/>
    </xf>
    <xf numFmtId="0" fontId="0" fillId="13" borderId="23" xfId="0" applyFont="1" applyFill="1" applyBorder="1" applyAlignment="1">
      <alignment horizontal="center"/>
    </xf>
    <xf numFmtId="0" fontId="0" fillId="13" borderId="0" xfId="0" applyFont="1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0" fontId="0" fillId="17" borderId="46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164" fontId="3" fillId="14" borderId="10" xfId="0" applyNumberFormat="1" applyFont="1" applyFill="1" applyBorder="1" applyAlignment="1">
      <alignment horizontal="center" vertical="center"/>
    </xf>
    <xf numFmtId="164" fontId="3" fillId="14" borderId="11" xfId="0" applyNumberFormat="1" applyFont="1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164" fontId="3" fillId="14" borderId="14" xfId="0" applyNumberFormat="1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36" xfId="0" applyFill="1" applyBorder="1" applyAlignment="1">
      <alignment horizontal="center"/>
    </xf>
    <xf numFmtId="0" fontId="0" fillId="17" borderId="60" xfId="0" applyFill="1" applyBorder="1" applyAlignment="1">
      <alignment horizontal="center"/>
    </xf>
    <xf numFmtId="0" fontId="8" fillId="16" borderId="83" xfId="0" applyFont="1" applyFill="1" applyBorder="1" applyAlignment="1">
      <alignment horizontal="center" vertical="center"/>
    </xf>
    <xf numFmtId="0" fontId="8" fillId="16" borderId="84" xfId="0" applyFont="1" applyFill="1" applyBorder="1" applyAlignment="1">
      <alignment horizontal="center" vertical="center"/>
    </xf>
    <xf numFmtId="0" fontId="8" fillId="16" borderId="85" xfId="0" applyFont="1" applyFill="1" applyBorder="1" applyAlignment="1">
      <alignment horizontal="center" vertical="center"/>
    </xf>
    <xf numFmtId="0" fontId="9" fillId="16" borderId="80" xfId="0" applyFont="1" applyFill="1" applyBorder="1" applyAlignment="1">
      <alignment horizontal="center" vertical="center"/>
    </xf>
    <xf numFmtId="0" fontId="9" fillId="16" borderId="81" xfId="0" applyFont="1" applyFill="1" applyBorder="1" applyAlignment="1">
      <alignment horizontal="center" vertical="center"/>
    </xf>
    <xf numFmtId="0" fontId="9" fillId="16" borderId="82" xfId="0" applyFont="1" applyFill="1" applyBorder="1" applyAlignment="1">
      <alignment horizontal="center" vertical="center"/>
    </xf>
    <xf numFmtId="0" fontId="9" fillId="16" borderId="77" xfId="0" applyFont="1" applyFill="1" applyBorder="1" applyAlignment="1">
      <alignment horizontal="center" vertical="center"/>
    </xf>
    <xf numFmtId="0" fontId="9" fillId="16" borderId="78" xfId="0" applyFont="1" applyFill="1" applyBorder="1" applyAlignment="1">
      <alignment horizontal="center" vertical="center"/>
    </xf>
    <xf numFmtId="0" fontId="9" fillId="16" borderId="79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3" fillId="6" borderId="40" xfId="0" applyFont="1" applyFill="1" applyBorder="1" applyAlignment="1">
      <alignment horizontal="center" vertical="center"/>
    </xf>
    <xf numFmtId="0" fontId="4" fillId="12" borderId="32" xfId="0" applyFont="1" applyFill="1" applyBorder="1" applyAlignment="1">
      <alignment horizontal="center"/>
    </xf>
    <xf numFmtId="0" fontId="4" fillId="12" borderId="33" xfId="0" applyFont="1" applyFill="1" applyBorder="1" applyAlignment="1">
      <alignment horizontal="center"/>
    </xf>
    <xf numFmtId="0" fontId="12" fillId="16" borderId="75" xfId="0" applyFont="1" applyFill="1" applyBorder="1" applyAlignment="1">
      <alignment horizontal="center" vertical="center"/>
    </xf>
    <xf numFmtId="0" fontId="12" fillId="16" borderId="0" xfId="0" applyFont="1" applyFill="1" applyBorder="1" applyAlignment="1">
      <alignment horizontal="center" vertical="center"/>
    </xf>
    <xf numFmtId="0" fontId="13" fillId="16" borderId="75" xfId="0" applyFont="1" applyFill="1" applyBorder="1" applyAlignment="1">
      <alignment horizontal="center" vertical="center"/>
    </xf>
    <xf numFmtId="0" fontId="13" fillId="16" borderId="0" xfId="0" applyFont="1" applyFill="1" applyBorder="1" applyAlignment="1">
      <alignment horizontal="center" vertical="center"/>
    </xf>
    <xf numFmtId="0" fontId="6" fillId="21" borderId="0" xfId="0" applyFont="1" applyFill="1" applyBorder="1" applyAlignment="1">
      <alignment horizontal="center" vertical="center"/>
    </xf>
    <xf numFmtId="0" fontId="28" fillId="12" borderId="33" xfId="0" applyFont="1" applyFill="1" applyBorder="1" applyAlignment="1">
      <alignment horizontal="center"/>
    </xf>
    <xf numFmtId="0" fontId="28" fillId="12" borderId="0" xfId="0" applyFont="1" applyFill="1" applyBorder="1" applyAlignment="1">
      <alignment horizontal="center"/>
    </xf>
    <xf numFmtId="0" fontId="0" fillId="17" borderId="68" xfId="0" applyFill="1" applyBorder="1" applyAlignment="1">
      <alignment horizontal="center"/>
    </xf>
    <xf numFmtId="0" fontId="0" fillId="12" borderId="68" xfId="0" applyFill="1" applyBorder="1" applyAlignment="1">
      <alignment horizontal="center"/>
    </xf>
    <xf numFmtId="0" fontId="0" fillId="12" borderId="135" xfId="0" applyFill="1" applyBorder="1" applyAlignment="1">
      <alignment horizontal="center"/>
    </xf>
    <xf numFmtId="0" fontId="0" fillId="12" borderId="40" xfId="0" applyFill="1" applyBorder="1" applyAlignment="1">
      <alignment horizontal="center"/>
    </xf>
    <xf numFmtId="164" fontId="3" fillId="14" borderId="40" xfId="0" applyNumberFormat="1" applyFont="1" applyFill="1" applyBorder="1" applyAlignment="1">
      <alignment horizontal="center" vertical="center" textRotation="180"/>
    </xf>
    <xf numFmtId="164" fontId="3" fillId="14" borderId="55" xfId="0" applyNumberFormat="1" applyFont="1" applyFill="1" applyBorder="1" applyAlignment="1">
      <alignment horizontal="center" vertical="center" textRotation="180"/>
    </xf>
    <xf numFmtId="0" fontId="3" fillId="5" borderId="11" xfId="0" applyFont="1" applyFill="1" applyBorder="1" applyAlignment="1">
      <alignment horizontal="center" vertical="center" textRotation="180"/>
    </xf>
    <xf numFmtId="0" fontId="3" fillId="5" borderId="14" xfId="0" applyFont="1" applyFill="1" applyBorder="1" applyAlignment="1">
      <alignment horizontal="center" vertical="center" textRotation="180"/>
    </xf>
    <xf numFmtId="0" fontId="3" fillId="5" borderId="40" xfId="0" applyFont="1" applyFill="1" applyBorder="1" applyAlignment="1">
      <alignment horizontal="center" vertical="center" textRotation="180"/>
    </xf>
    <xf numFmtId="0" fontId="3" fillId="5" borderId="114" xfId="0" applyFont="1" applyFill="1" applyBorder="1" applyAlignment="1">
      <alignment horizontal="center" vertical="center" textRotation="180"/>
    </xf>
    <xf numFmtId="0" fontId="3" fillId="17" borderId="69" xfId="0" applyFont="1" applyFill="1" applyBorder="1" applyAlignment="1">
      <alignment horizontal="center" vertical="center" textRotation="180" wrapText="1"/>
    </xf>
    <xf numFmtId="0" fontId="3" fillId="12" borderId="19" xfId="0" applyFont="1" applyFill="1" applyBorder="1" applyAlignment="1">
      <alignment horizontal="center" vertical="center" textRotation="180" wrapText="1"/>
    </xf>
    <xf numFmtId="0" fontId="3" fillId="12" borderId="20" xfId="0" applyFont="1" applyFill="1" applyBorder="1" applyAlignment="1">
      <alignment horizontal="center" vertical="center" textRotation="180" wrapText="1"/>
    </xf>
    <xf numFmtId="0" fontId="3" fillId="12" borderId="65" xfId="0" applyFont="1" applyFill="1" applyBorder="1" applyAlignment="1">
      <alignment horizontal="center" vertical="center" textRotation="180" wrapText="1"/>
    </xf>
    <xf numFmtId="0" fontId="3" fillId="12" borderId="0" xfId="0" applyFont="1" applyFill="1" applyBorder="1" applyAlignment="1">
      <alignment horizontal="center" vertical="center" textRotation="180" wrapText="1"/>
    </xf>
    <xf numFmtId="0" fontId="3" fillId="12" borderId="5" xfId="0" applyFont="1" applyFill="1" applyBorder="1" applyAlignment="1">
      <alignment horizontal="center" vertical="center" textRotation="180" wrapText="1"/>
    </xf>
    <xf numFmtId="0" fontId="3" fillId="12" borderId="70" xfId="0" applyFont="1" applyFill="1" applyBorder="1" applyAlignment="1">
      <alignment horizontal="center" vertical="center" textRotation="180" wrapText="1"/>
    </xf>
    <xf numFmtId="0" fontId="3" fillId="12" borderId="29" xfId="0" applyFont="1" applyFill="1" applyBorder="1" applyAlignment="1">
      <alignment horizontal="center" vertical="center" textRotation="180" wrapText="1"/>
    </xf>
    <xf numFmtId="0" fontId="3" fillId="12" borderId="53" xfId="0" applyFont="1" applyFill="1" applyBorder="1" applyAlignment="1">
      <alignment horizontal="center" vertical="center" textRotation="180" wrapText="1"/>
    </xf>
    <xf numFmtId="0" fontId="0" fillId="22" borderId="67" xfId="0" applyFill="1" applyBorder="1" applyAlignment="1">
      <alignment horizontal="center"/>
    </xf>
    <xf numFmtId="0" fontId="0" fillId="23" borderId="9" xfId="0" applyFill="1" applyBorder="1" applyAlignment="1">
      <alignment horizontal="center"/>
    </xf>
    <xf numFmtId="0" fontId="0" fillId="23" borderId="68" xfId="0" applyFill="1" applyBorder="1" applyAlignment="1">
      <alignment horizontal="center"/>
    </xf>
    <xf numFmtId="0" fontId="0" fillId="23" borderId="11" xfId="0" applyFill="1" applyBorder="1" applyAlignment="1">
      <alignment horizontal="center"/>
    </xf>
    <xf numFmtId="164" fontId="3" fillId="14" borderId="54" xfId="0" applyNumberFormat="1" applyFont="1" applyFill="1" applyBorder="1" applyAlignment="1">
      <alignment horizontal="center" vertical="center" textRotation="180"/>
    </xf>
    <xf numFmtId="164" fontId="3" fillId="14" borderId="43" xfId="0" applyNumberFormat="1" applyFont="1" applyFill="1" applyBorder="1" applyAlignment="1">
      <alignment horizontal="center" vertical="center" textRotation="180"/>
    </xf>
    <xf numFmtId="0" fontId="3" fillId="5" borderId="9" xfId="0" applyFont="1" applyFill="1" applyBorder="1" applyAlignment="1">
      <alignment horizontal="center" vertical="center" textRotation="180"/>
    </xf>
    <xf numFmtId="0" fontId="3" fillId="5" borderId="35" xfId="0" applyFont="1" applyFill="1" applyBorder="1" applyAlignment="1">
      <alignment horizontal="center" vertical="center" textRotation="180"/>
    </xf>
    <xf numFmtId="0" fontId="3" fillId="17" borderId="61" xfId="0" applyFont="1" applyFill="1" applyBorder="1" applyAlignment="1">
      <alignment horizontal="center" vertical="center" wrapText="1"/>
    </xf>
    <xf numFmtId="0" fontId="3" fillId="12" borderId="57" xfId="0" applyFont="1" applyFill="1" applyBorder="1" applyAlignment="1">
      <alignment horizontal="center" vertical="center" wrapText="1"/>
    </xf>
    <xf numFmtId="0" fontId="3" fillId="12" borderId="62" xfId="0" applyFont="1" applyFill="1" applyBorder="1" applyAlignment="1">
      <alignment horizontal="center" vertical="center" wrapText="1"/>
    </xf>
    <xf numFmtId="0" fontId="3" fillId="12" borderId="18" xfId="0" applyFont="1" applyFill="1" applyBorder="1" applyAlignment="1">
      <alignment horizontal="center" vertical="center" wrapText="1"/>
    </xf>
    <xf numFmtId="0" fontId="3" fillId="12" borderId="0" xfId="0" applyFont="1" applyFill="1" applyBorder="1" applyAlignment="1">
      <alignment horizontal="center" vertical="center" wrapText="1"/>
    </xf>
    <xf numFmtId="0" fontId="3" fillId="12" borderId="28" xfId="0" applyFont="1" applyFill="1" applyBorder="1" applyAlignment="1">
      <alignment horizontal="center" vertical="center" wrapText="1"/>
    </xf>
    <xf numFmtId="0" fontId="3" fillId="12" borderId="50" xfId="0" applyFont="1" applyFill="1" applyBorder="1" applyAlignment="1">
      <alignment horizontal="center" vertical="center" wrapText="1"/>
    </xf>
    <xf numFmtId="0" fontId="3" fillId="12" borderId="7" xfId="0" applyFont="1" applyFill="1" applyBorder="1" applyAlignment="1">
      <alignment horizontal="center" vertical="center" wrapText="1"/>
    </xf>
    <xf numFmtId="0" fontId="3" fillId="12" borderId="51" xfId="0" applyFont="1" applyFill="1" applyBorder="1" applyAlignment="1">
      <alignment horizontal="center" vertical="center" wrapText="1"/>
    </xf>
    <xf numFmtId="0" fontId="3" fillId="5" borderId="43" xfId="0" applyFont="1" applyFill="1" applyBorder="1" applyAlignment="1">
      <alignment horizontal="center" vertical="center" textRotation="180"/>
    </xf>
    <xf numFmtId="0" fontId="3" fillId="5" borderId="52" xfId="0" applyFont="1" applyFill="1" applyBorder="1" applyAlignment="1">
      <alignment horizontal="center" vertical="center" textRotation="180"/>
    </xf>
    <xf numFmtId="0" fontId="3" fillId="3" borderId="52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164" fontId="3" fillId="14" borderId="11" xfId="0" applyNumberFormat="1" applyFont="1" applyFill="1" applyBorder="1" applyAlignment="1">
      <alignment horizontal="center" vertical="center" textRotation="90"/>
    </xf>
    <xf numFmtId="164" fontId="3" fillId="14" borderId="40" xfId="0" applyNumberFormat="1" applyFont="1" applyFill="1" applyBorder="1" applyAlignment="1">
      <alignment horizontal="center" vertical="center" textRotation="90"/>
    </xf>
    <xf numFmtId="0" fontId="0" fillId="17" borderId="114" xfId="0" applyFill="1" applyBorder="1" applyAlignment="1">
      <alignment horizontal="center"/>
    </xf>
    <xf numFmtId="0" fontId="0" fillId="17" borderId="19" xfId="0" applyFill="1" applyBorder="1" applyAlignment="1">
      <alignment horizontal="center"/>
    </xf>
    <xf numFmtId="0" fontId="0" fillId="17" borderId="20" xfId="0" applyFill="1" applyBorder="1" applyAlignment="1">
      <alignment horizontal="center"/>
    </xf>
    <xf numFmtId="0" fontId="0" fillId="17" borderId="18" xfId="0" applyFill="1" applyBorder="1" applyAlignment="1">
      <alignment horizontal="center"/>
    </xf>
    <xf numFmtId="0" fontId="0" fillId="17" borderId="0" xfId="0" applyFill="1" applyBorder="1" applyAlignment="1">
      <alignment horizontal="center"/>
    </xf>
    <xf numFmtId="0" fontId="0" fillId="17" borderId="5" xfId="0" applyFill="1" applyBorder="1" applyAlignment="1">
      <alignment horizontal="center"/>
    </xf>
    <xf numFmtId="0" fontId="36" fillId="17" borderId="64" xfId="0" applyFont="1" applyFill="1" applyBorder="1" applyAlignment="1">
      <alignment horizontal="center" vertical="center" wrapText="1"/>
    </xf>
    <xf numFmtId="0" fontId="36" fillId="19" borderId="57" xfId="0" applyFont="1" applyFill="1" applyBorder="1" applyAlignment="1">
      <alignment horizontal="center" vertical="center" wrapText="1"/>
    </xf>
    <xf numFmtId="0" fontId="36" fillId="19" borderId="58" xfId="0" applyFont="1" applyFill="1" applyBorder="1" applyAlignment="1">
      <alignment horizontal="center" vertical="center" wrapText="1"/>
    </xf>
    <xf numFmtId="0" fontId="36" fillId="19" borderId="4" xfId="0" applyFont="1" applyFill="1" applyBorder="1" applyAlignment="1">
      <alignment horizontal="center" vertical="center" wrapText="1"/>
    </xf>
    <xf numFmtId="0" fontId="36" fillId="19" borderId="0" xfId="0" applyFont="1" applyFill="1" applyBorder="1" applyAlignment="1">
      <alignment horizontal="center" vertical="center" wrapText="1"/>
    </xf>
    <xf numFmtId="0" fontId="36" fillId="19" borderId="5" xfId="0" applyFont="1" applyFill="1" applyBorder="1" applyAlignment="1">
      <alignment horizontal="center" vertical="center" wrapText="1"/>
    </xf>
    <xf numFmtId="0" fontId="36" fillId="19" borderId="6" xfId="0" applyFont="1" applyFill="1" applyBorder="1" applyAlignment="1">
      <alignment horizontal="center" vertical="center" wrapText="1"/>
    </xf>
    <xf numFmtId="0" fontId="36" fillId="19" borderId="7" xfId="0" applyFont="1" applyFill="1" applyBorder="1" applyAlignment="1">
      <alignment horizontal="center" vertical="center" wrapText="1"/>
    </xf>
    <xf numFmtId="0" fontId="36" fillId="19" borderId="8" xfId="0" applyFont="1" applyFill="1" applyBorder="1" applyAlignment="1">
      <alignment horizontal="center" vertical="center" wrapText="1"/>
    </xf>
    <xf numFmtId="0" fontId="0" fillId="17" borderId="9" xfId="0" applyFill="1" applyBorder="1" applyAlignment="1">
      <alignment horizontal="center"/>
    </xf>
    <xf numFmtId="0" fontId="0" fillId="12" borderId="9" xfId="0" applyFill="1" applyBorder="1" applyAlignment="1">
      <alignment horizontal="center"/>
    </xf>
    <xf numFmtId="0" fontId="0" fillId="12" borderId="45" xfId="0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164" fontId="3" fillId="14" borderId="9" xfId="0" applyNumberFormat="1" applyFont="1" applyFill="1" applyBorder="1" applyAlignment="1">
      <alignment horizontal="center" vertical="center" textRotation="90"/>
    </xf>
    <xf numFmtId="0" fontId="3" fillId="8" borderId="37" xfId="0" applyFont="1" applyFill="1" applyBorder="1" applyAlignment="1">
      <alignment horizontal="center" vertical="center" textRotation="90"/>
    </xf>
    <xf numFmtId="0" fontId="3" fillId="8" borderId="9" xfId="0" applyFont="1" applyFill="1" applyBorder="1" applyAlignment="1">
      <alignment horizontal="center" vertical="center" textRotation="90"/>
    </xf>
    <xf numFmtId="0" fontId="3" fillId="8" borderId="16" xfId="0" applyFont="1" applyFill="1" applyBorder="1" applyAlignment="1">
      <alignment horizontal="center" vertical="center" textRotation="90"/>
    </xf>
    <xf numFmtId="0" fontId="3" fillId="8" borderId="11" xfId="0" applyFont="1" applyFill="1" applyBorder="1" applyAlignment="1">
      <alignment horizontal="center" vertical="center" textRotation="90"/>
    </xf>
    <xf numFmtId="0" fontId="3" fillId="10" borderId="11" xfId="0" applyFont="1" applyFill="1" applyBorder="1" applyAlignment="1">
      <alignment horizontal="center" vertical="center"/>
    </xf>
    <xf numFmtId="0" fontId="3" fillId="10" borderId="40" xfId="0" applyFont="1" applyFill="1" applyBorder="1" applyAlignment="1">
      <alignment horizontal="center" vertical="center"/>
    </xf>
    <xf numFmtId="0" fontId="4" fillId="12" borderId="73" xfId="0" applyFont="1" applyFill="1" applyBorder="1" applyAlignment="1">
      <alignment horizontal="center"/>
    </xf>
    <xf numFmtId="0" fontId="3" fillId="8" borderId="134" xfId="0" applyFont="1" applyFill="1" applyBorder="1" applyAlignment="1">
      <alignment horizontal="center" vertical="center" textRotation="90"/>
    </xf>
    <xf numFmtId="0" fontId="3" fillId="8" borderId="40" xfId="0" applyFont="1" applyFill="1" applyBorder="1" applyAlignment="1">
      <alignment horizontal="center" vertical="center" textRotation="90"/>
    </xf>
    <xf numFmtId="0" fontId="0" fillId="17" borderId="63" xfId="0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3" fillId="17" borderId="10" xfId="0" applyFont="1" applyFill="1" applyBorder="1" applyAlignment="1">
      <alignment horizontal="center" vertical="center" textRotation="90" wrapText="1"/>
    </xf>
    <xf numFmtId="0" fontId="3" fillId="12" borderId="11" xfId="0" applyFont="1" applyFill="1" applyBorder="1" applyAlignment="1">
      <alignment horizontal="center" vertical="center" textRotation="90" wrapText="1"/>
    </xf>
    <xf numFmtId="0" fontId="3" fillId="12" borderId="12" xfId="0" applyFont="1" applyFill="1" applyBorder="1" applyAlignment="1">
      <alignment horizontal="center" vertical="center" textRotation="90" wrapText="1"/>
    </xf>
    <xf numFmtId="0" fontId="3" fillId="12" borderId="10" xfId="0" applyFont="1" applyFill="1" applyBorder="1" applyAlignment="1">
      <alignment horizontal="center" vertical="center" textRotation="90" wrapText="1"/>
    </xf>
    <xf numFmtId="0" fontId="3" fillId="17" borderId="16" xfId="0" applyFont="1" applyFill="1" applyBorder="1" applyAlignment="1">
      <alignment horizontal="center" vertical="center" textRotation="90" wrapText="1"/>
    </xf>
    <xf numFmtId="0" fontId="3" fillId="12" borderId="16" xfId="0" applyFont="1" applyFill="1" applyBorder="1" applyAlignment="1">
      <alignment horizontal="center" vertical="center" textRotation="90" wrapText="1"/>
    </xf>
    <xf numFmtId="0" fontId="3" fillId="3" borderId="137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" fillId="7" borderId="11" xfId="0" applyFont="1" applyFill="1" applyBorder="1" applyAlignment="1">
      <alignment horizontal="center" vertical="center"/>
    </xf>
    <xf numFmtId="0" fontId="3" fillId="7" borderId="40" xfId="0" applyFont="1" applyFill="1" applyBorder="1" applyAlignment="1">
      <alignment horizontal="center" vertical="center"/>
    </xf>
    <xf numFmtId="0" fontId="23" fillId="21" borderId="0" xfId="0" applyFont="1" applyFill="1" applyBorder="1" applyAlignment="1">
      <alignment horizontal="center" vertical="center"/>
    </xf>
    <xf numFmtId="0" fontId="3" fillId="17" borderId="9" xfId="0" applyFont="1" applyFill="1" applyBorder="1" applyAlignment="1">
      <alignment horizontal="center" vertical="center" wrapText="1"/>
    </xf>
    <xf numFmtId="0" fontId="3" fillId="12" borderId="9" xfId="0" applyFont="1" applyFill="1" applyBorder="1" applyAlignment="1">
      <alignment horizontal="center" vertical="center" wrapText="1"/>
    </xf>
    <xf numFmtId="0" fontId="3" fillId="12" borderId="11" xfId="0" applyFont="1" applyFill="1" applyBorder="1" applyAlignment="1">
      <alignment horizontal="center" vertical="center" wrapText="1"/>
    </xf>
    <xf numFmtId="0" fontId="3" fillId="12" borderId="13" xfId="0" applyFont="1" applyFill="1" applyBorder="1" applyAlignment="1">
      <alignment horizontal="center" vertical="center" wrapText="1"/>
    </xf>
    <xf numFmtId="0" fontId="8" fillId="18" borderId="128" xfId="0" applyFont="1" applyFill="1" applyBorder="1" applyAlignment="1">
      <alignment horizontal="center" vertical="center"/>
    </xf>
    <xf numFmtId="0" fontId="8" fillId="18" borderId="0" xfId="0" applyFont="1" applyFill="1" applyBorder="1" applyAlignment="1">
      <alignment horizontal="center" vertical="center"/>
    </xf>
    <xf numFmtId="164" fontId="3" fillId="14" borderId="15" xfId="0" applyNumberFormat="1" applyFont="1" applyFill="1" applyBorder="1" applyAlignment="1">
      <alignment horizontal="center" vertical="center"/>
    </xf>
    <xf numFmtId="164" fontId="3" fillId="14" borderId="16" xfId="0" applyNumberFormat="1" applyFont="1" applyFill="1" applyBorder="1" applyAlignment="1">
      <alignment horizontal="center" vertical="center"/>
    </xf>
    <xf numFmtId="0" fontId="3" fillId="8" borderId="137" xfId="0" applyFont="1" applyFill="1" applyBorder="1" applyAlignment="1">
      <alignment horizontal="center" vertical="center" textRotation="90"/>
    </xf>
    <xf numFmtId="0" fontId="3" fillId="8" borderId="43" xfId="0" applyFont="1" applyFill="1" applyBorder="1" applyAlignment="1">
      <alignment horizontal="center" vertical="center" textRotation="90"/>
    </xf>
    <xf numFmtId="164" fontId="3" fillId="14" borderId="43" xfId="0" applyNumberFormat="1" applyFont="1" applyFill="1" applyBorder="1" applyAlignment="1">
      <alignment horizontal="center" vertical="center" textRotation="90"/>
    </xf>
    <xf numFmtId="0" fontId="0" fillId="17" borderId="43" xfId="0" applyFill="1" applyBorder="1" applyAlignment="1">
      <alignment horizontal="center"/>
    </xf>
    <xf numFmtId="0" fontId="0" fillId="12" borderId="43" xfId="0" applyFill="1" applyBorder="1" applyAlignment="1">
      <alignment horizontal="center"/>
    </xf>
    <xf numFmtId="0" fontId="0" fillId="12" borderId="44" xfId="0" applyFill="1" applyBorder="1" applyAlignment="1">
      <alignment horizontal="center"/>
    </xf>
    <xf numFmtId="0" fontId="3" fillId="11" borderId="16" xfId="0" applyFont="1" applyFill="1" applyBorder="1" applyAlignment="1">
      <alignment horizontal="center" vertical="center" textRotation="90"/>
    </xf>
    <xf numFmtId="0" fontId="3" fillId="11" borderId="11" xfId="0" applyFont="1" applyFill="1" applyBorder="1" applyAlignment="1">
      <alignment horizontal="center" vertical="center" textRotation="90"/>
    </xf>
    <xf numFmtId="0" fontId="3" fillId="11" borderId="134" xfId="0" applyFont="1" applyFill="1" applyBorder="1" applyAlignment="1">
      <alignment horizontal="center" vertical="center" textRotation="90"/>
    </xf>
    <xf numFmtId="0" fontId="3" fillId="11" borderId="40" xfId="0" applyFont="1" applyFill="1" applyBorder="1" applyAlignment="1">
      <alignment horizontal="center" vertical="center" textRotation="90"/>
    </xf>
    <xf numFmtId="0" fontId="0" fillId="12" borderId="41" xfId="0" applyFill="1" applyBorder="1" applyAlignment="1">
      <alignment horizontal="center"/>
    </xf>
    <xf numFmtId="0" fontId="38" fillId="17" borderId="1" xfId="0" applyFont="1" applyFill="1" applyBorder="1" applyAlignment="1">
      <alignment horizontal="center" vertical="center" wrapText="1"/>
    </xf>
    <xf numFmtId="0" fontId="38" fillId="17" borderId="2" xfId="0" applyFont="1" applyFill="1" applyBorder="1" applyAlignment="1">
      <alignment horizontal="center" vertical="center" wrapText="1"/>
    </xf>
    <xf numFmtId="0" fontId="38" fillId="17" borderId="3" xfId="0" applyFont="1" applyFill="1" applyBorder="1" applyAlignment="1">
      <alignment horizontal="center" vertical="center" wrapText="1"/>
    </xf>
    <xf numFmtId="0" fontId="38" fillId="17" borderId="4" xfId="0" applyFont="1" applyFill="1" applyBorder="1" applyAlignment="1">
      <alignment horizontal="center" vertical="center" wrapText="1"/>
    </xf>
    <xf numFmtId="0" fontId="38" fillId="17" borderId="0" xfId="0" applyFont="1" applyFill="1" applyBorder="1" applyAlignment="1">
      <alignment horizontal="center" vertical="center" wrapText="1"/>
    </xf>
    <xf numFmtId="0" fontId="38" fillId="17" borderId="5" xfId="0" applyFont="1" applyFill="1" applyBorder="1" applyAlignment="1">
      <alignment horizontal="center" vertical="center" wrapText="1"/>
    </xf>
    <xf numFmtId="0" fontId="38" fillId="17" borderId="6" xfId="0" applyFont="1" applyFill="1" applyBorder="1" applyAlignment="1">
      <alignment horizontal="center" vertical="center" wrapText="1"/>
    </xf>
    <xf numFmtId="0" fontId="38" fillId="17" borderId="7" xfId="0" applyFont="1" applyFill="1" applyBorder="1" applyAlignment="1">
      <alignment horizontal="center" vertical="center" wrapText="1"/>
    </xf>
    <xf numFmtId="0" fontId="38" fillId="17" borderId="8" xfId="0" applyFont="1" applyFill="1" applyBorder="1" applyAlignment="1">
      <alignment horizontal="center" vertical="center" wrapText="1"/>
    </xf>
    <xf numFmtId="166" fontId="22" fillId="18" borderId="107" xfId="0" applyNumberFormat="1" applyFont="1" applyFill="1" applyBorder="1" applyAlignment="1">
      <alignment horizontal="center" vertical="center"/>
    </xf>
    <xf numFmtId="166" fontId="22" fillId="18" borderId="108" xfId="0" applyNumberFormat="1" applyFont="1" applyFill="1" applyBorder="1" applyAlignment="1">
      <alignment horizontal="center" vertical="center"/>
    </xf>
    <xf numFmtId="166" fontId="22" fillId="18" borderId="109" xfId="0" applyNumberFormat="1" applyFont="1" applyFill="1" applyBorder="1" applyAlignment="1">
      <alignment horizontal="center" vertical="center"/>
    </xf>
    <xf numFmtId="166" fontId="22" fillId="18" borderId="110" xfId="0" applyNumberFormat="1" applyFont="1" applyFill="1" applyBorder="1" applyAlignment="1">
      <alignment horizontal="center" vertical="center"/>
    </xf>
    <xf numFmtId="166" fontId="22" fillId="18" borderId="0" xfId="0" applyNumberFormat="1" applyFont="1" applyFill="1" applyBorder="1" applyAlignment="1">
      <alignment horizontal="center" vertical="center"/>
    </xf>
    <xf numFmtId="166" fontId="22" fillId="18" borderId="104" xfId="0" applyNumberFormat="1" applyFont="1" applyFill="1" applyBorder="1" applyAlignment="1">
      <alignment horizontal="center" vertical="center"/>
    </xf>
    <xf numFmtId="166" fontId="22" fillId="18" borderId="111" xfId="0" applyNumberFormat="1" applyFont="1" applyFill="1" applyBorder="1" applyAlignment="1">
      <alignment horizontal="center" vertical="center"/>
    </xf>
    <xf numFmtId="166" fontId="22" fillId="18" borderId="105" xfId="0" applyNumberFormat="1" applyFont="1" applyFill="1" applyBorder="1" applyAlignment="1">
      <alignment horizontal="center" vertical="center"/>
    </xf>
    <xf numFmtId="166" fontId="22" fillId="18" borderId="106" xfId="0" applyNumberFormat="1" applyFont="1" applyFill="1" applyBorder="1" applyAlignment="1">
      <alignment horizontal="center" vertical="center"/>
    </xf>
    <xf numFmtId="0" fontId="1" fillId="15" borderId="119" xfId="0" applyFont="1" applyFill="1" applyBorder="1" applyAlignment="1">
      <alignment horizontal="center" vertical="center"/>
    </xf>
    <xf numFmtId="0" fontId="1" fillId="15" borderId="120" xfId="0" applyFont="1" applyFill="1" applyBorder="1" applyAlignment="1">
      <alignment horizontal="center" vertical="center"/>
    </xf>
    <xf numFmtId="0" fontId="1" fillId="15" borderId="121" xfId="0" applyFont="1" applyFill="1" applyBorder="1" applyAlignment="1">
      <alignment horizontal="center" vertical="center"/>
    </xf>
    <xf numFmtId="0" fontId="1" fillId="15" borderId="122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center" vertical="center"/>
    </xf>
    <xf numFmtId="0" fontId="1" fillId="15" borderId="123" xfId="0" applyFont="1" applyFill="1" applyBorder="1" applyAlignment="1">
      <alignment horizontal="center" vertical="center"/>
    </xf>
    <xf numFmtId="0" fontId="3" fillId="9" borderId="16" xfId="0" applyFont="1" applyFill="1" applyBorder="1" applyAlignment="1">
      <alignment horizontal="center" vertical="center" textRotation="90"/>
    </xf>
    <xf numFmtId="0" fontId="3" fillId="9" borderId="11" xfId="0" applyFont="1" applyFill="1" applyBorder="1" applyAlignment="1">
      <alignment horizontal="center" vertical="center" textRotation="90"/>
    </xf>
    <xf numFmtId="0" fontId="3" fillId="9" borderId="38" xfId="0" applyFont="1" applyFill="1" applyBorder="1" applyAlignment="1">
      <alignment horizontal="center" vertical="center" textRotation="90"/>
    </xf>
    <xf numFmtId="0" fontId="3" fillId="9" borderId="13" xfId="0" applyFont="1" applyFill="1" applyBorder="1" applyAlignment="1">
      <alignment horizontal="center" vertical="center" textRotation="90"/>
    </xf>
    <xf numFmtId="164" fontId="3" fillId="14" borderId="13" xfId="0" applyNumberFormat="1" applyFont="1" applyFill="1" applyBorder="1" applyAlignment="1">
      <alignment horizontal="center" vertical="center" textRotation="90"/>
    </xf>
    <xf numFmtId="0" fontId="0" fillId="12" borderId="47" xfId="0" applyFill="1" applyBorder="1" applyAlignment="1">
      <alignment horizontal="center"/>
    </xf>
    <xf numFmtId="0" fontId="0" fillId="17" borderId="16" xfId="0" applyFill="1" applyBorder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38" xfId="0" applyFill="1" applyBorder="1" applyAlignment="1">
      <alignment horizontal="center"/>
    </xf>
    <xf numFmtId="0" fontId="3" fillId="11" borderId="43" xfId="0" applyFont="1" applyFill="1" applyBorder="1" applyAlignment="1">
      <alignment horizontal="center" vertical="center"/>
    </xf>
    <xf numFmtId="0" fontId="3" fillId="11" borderId="11" xfId="0" applyFont="1" applyFill="1" applyBorder="1" applyAlignment="1">
      <alignment horizontal="center" vertical="center"/>
    </xf>
    <xf numFmtId="0" fontId="3" fillId="9" borderId="137" xfId="0" applyFont="1" applyFill="1" applyBorder="1" applyAlignment="1">
      <alignment horizontal="center" vertical="center" textRotation="90"/>
    </xf>
    <xf numFmtId="0" fontId="3" fillId="9" borderId="43" xfId="0" applyFont="1" applyFill="1" applyBorder="1" applyAlignment="1">
      <alignment horizontal="center" vertical="center" textRotation="90"/>
    </xf>
    <xf numFmtId="0" fontId="3" fillId="2" borderId="137" xfId="0" applyFont="1" applyFill="1" applyBorder="1" applyAlignment="1">
      <alignment horizontal="center" vertical="center"/>
    </xf>
    <xf numFmtId="0" fontId="3" fillId="2" borderId="43" xfId="0" applyFont="1" applyFill="1" applyBorder="1" applyAlignment="1">
      <alignment horizontal="center" vertical="center"/>
    </xf>
    <xf numFmtId="0" fontId="3" fillId="2" borderId="44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17" borderId="17" xfId="0" applyFont="1" applyFill="1" applyBorder="1" applyAlignment="1">
      <alignment horizontal="center" vertical="center" wrapText="1"/>
    </xf>
    <xf numFmtId="0" fontId="3" fillId="17" borderId="2" xfId="0" applyFont="1" applyFill="1" applyBorder="1" applyAlignment="1">
      <alignment horizontal="center" vertical="center" wrapText="1"/>
    </xf>
    <xf numFmtId="0" fontId="3" fillId="17" borderId="138" xfId="0" applyFont="1" applyFill="1" applyBorder="1" applyAlignment="1">
      <alignment horizontal="center" vertical="center" wrapText="1"/>
    </xf>
    <xf numFmtId="0" fontId="3" fillId="17" borderId="18" xfId="0" applyFont="1" applyFill="1" applyBorder="1" applyAlignment="1">
      <alignment horizontal="center" vertical="center" wrapText="1"/>
    </xf>
    <xf numFmtId="0" fontId="3" fillId="17" borderId="0" xfId="0" applyFont="1" applyFill="1" applyBorder="1" applyAlignment="1">
      <alignment horizontal="center" vertical="center" wrapText="1"/>
    </xf>
    <xf numFmtId="0" fontId="3" fillId="17" borderId="28" xfId="0" applyFont="1" applyFill="1" applyBorder="1" applyAlignment="1">
      <alignment horizontal="center" vertical="center" wrapText="1"/>
    </xf>
    <xf numFmtId="0" fontId="3" fillId="17" borderId="50" xfId="0" applyFont="1" applyFill="1" applyBorder="1" applyAlignment="1">
      <alignment horizontal="center" vertical="center" wrapText="1"/>
    </xf>
    <xf numFmtId="0" fontId="3" fillId="17" borderId="7" xfId="0" applyFont="1" applyFill="1" applyBorder="1" applyAlignment="1">
      <alignment horizontal="center" vertical="center" wrapText="1"/>
    </xf>
    <xf numFmtId="0" fontId="3" fillId="17" borderId="51" xfId="0" applyFont="1" applyFill="1" applyBorder="1" applyAlignment="1">
      <alignment horizontal="center" vertical="center" wrapText="1"/>
    </xf>
    <xf numFmtId="0" fontId="3" fillId="2" borderId="52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17" borderId="43" xfId="0" applyFont="1" applyFill="1" applyBorder="1" applyAlignment="1">
      <alignment horizontal="center" vertical="center" wrapText="1"/>
    </xf>
    <xf numFmtId="0" fontId="3" fillId="12" borderId="43" xfId="0" applyFont="1" applyFill="1" applyBorder="1" applyAlignment="1">
      <alignment horizontal="center" vertical="center" wrapText="1"/>
    </xf>
    <xf numFmtId="0" fontId="14" fillId="16" borderId="75" xfId="0" applyFont="1" applyFill="1" applyBorder="1" applyAlignment="1">
      <alignment horizontal="center" vertical="center"/>
    </xf>
    <xf numFmtId="0" fontId="14" fillId="16" borderId="0" xfId="0" applyFont="1" applyFill="1" applyBorder="1" applyAlignment="1">
      <alignment horizontal="center" vertical="center"/>
    </xf>
    <xf numFmtId="0" fontId="15" fillId="16" borderId="75" xfId="0" applyFont="1" applyFill="1" applyBorder="1" applyAlignment="1">
      <alignment horizontal="center" vertical="center"/>
    </xf>
    <xf numFmtId="0" fontId="15" fillId="16" borderId="0" xfId="0" applyFont="1" applyFill="1" applyBorder="1" applyAlignment="1">
      <alignment horizontal="center" vertical="center"/>
    </xf>
    <xf numFmtId="0" fontId="16" fillId="16" borderId="75" xfId="0" applyFont="1" applyFill="1" applyBorder="1" applyAlignment="1">
      <alignment horizontal="center" vertical="center"/>
    </xf>
    <xf numFmtId="0" fontId="16" fillId="16" borderId="0" xfId="0" applyFont="1" applyFill="1" applyBorder="1" applyAlignment="1">
      <alignment horizontal="center" vertical="center"/>
    </xf>
    <xf numFmtId="0" fontId="8" fillId="13" borderId="21" xfId="0" applyFont="1" applyFill="1" applyBorder="1" applyAlignment="1">
      <alignment horizontal="center" vertical="center"/>
    </xf>
    <xf numFmtId="0" fontId="9" fillId="13" borderId="21" xfId="0" applyFont="1" applyFill="1" applyBorder="1" applyAlignment="1">
      <alignment horizontal="center" vertical="center"/>
    </xf>
    <xf numFmtId="0" fontId="9" fillId="13" borderId="30" xfId="0" applyFont="1" applyFill="1" applyBorder="1" applyAlignment="1">
      <alignment horizontal="center" vertical="center"/>
    </xf>
    <xf numFmtId="0" fontId="0" fillId="17" borderId="133" xfId="0" applyFill="1" applyBorder="1" applyAlignment="1">
      <alignment horizontal="center"/>
    </xf>
    <xf numFmtId="0" fontId="3" fillId="7" borderId="16" xfId="0" applyFont="1" applyFill="1" applyBorder="1" applyAlignment="1">
      <alignment horizontal="center" vertical="center"/>
    </xf>
    <xf numFmtId="0" fontId="3" fillId="7" borderId="134" xfId="0" applyFont="1" applyFill="1" applyBorder="1" applyAlignment="1">
      <alignment horizontal="center" vertical="center"/>
    </xf>
    <xf numFmtId="0" fontId="10" fillId="16" borderId="80" xfId="0" applyFont="1" applyFill="1" applyBorder="1" applyAlignment="1">
      <alignment horizontal="center" vertical="center"/>
    </xf>
    <xf numFmtId="0" fontId="10" fillId="16" borderId="81" xfId="0" applyFont="1" applyFill="1" applyBorder="1" applyAlignment="1">
      <alignment horizontal="center" vertical="center"/>
    </xf>
    <xf numFmtId="0" fontId="10" fillId="16" borderId="75" xfId="0" applyFont="1" applyFill="1" applyBorder="1" applyAlignment="1">
      <alignment horizontal="center" vertical="center"/>
    </xf>
    <xf numFmtId="0" fontId="10" fillId="16" borderId="0" xfId="0" applyFont="1" applyFill="1" applyBorder="1" applyAlignment="1">
      <alignment horizontal="center" vertical="center"/>
    </xf>
    <xf numFmtId="0" fontId="10" fillId="13" borderId="22" xfId="0" applyFont="1" applyFill="1" applyBorder="1" applyAlignment="1">
      <alignment horizontal="center" vertical="center"/>
    </xf>
    <xf numFmtId="0" fontId="10" fillId="13" borderId="48" xfId="0" applyFont="1" applyFill="1" applyBorder="1" applyAlignment="1">
      <alignment horizontal="center" vertical="center"/>
    </xf>
    <xf numFmtId="0" fontId="10" fillId="13" borderId="0" xfId="0" applyFont="1" applyFill="1" applyBorder="1" applyAlignment="1">
      <alignment horizontal="center" vertical="center"/>
    </xf>
    <xf numFmtId="0" fontId="10" fillId="13" borderId="24" xfId="0" applyFont="1" applyFill="1" applyBorder="1" applyAlignment="1">
      <alignment horizontal="center" vertical="center"/>
    </xf>
    <xf numFmtId="0" fontId="37" fillId="17" borderId="56" xfId="0" applyFont="1" applyFill="1" applyBorder="1" applyAlignment="1">
      <alignment horizontal="center" vertical="center" wrapText="1"/>
    </xf>
    <xf numFmtId="0" fontId="37" fillId="15" borderId="57" xfId="0" applyFont="1" applyFill="1" applyBorder="1" applyAlignment="1">
      <alignment horizontal="center" vertical="center" wrapText="1"/>
    </xf>
    <xf numFmtId="0" fontId="37" fillId="15" borderId="58" xfId="0" applyFont="1" applyFill="1" applyBorder="1" applyAlignment="1">
      <alignment horizontal="center" vertical="center" wrapText="1"/>
    </xf>
    <xf numFmtId="0" fontId="37" fillId="15" borderId="65" xfId="0" applyFont="1" applyFill="1" applyBorder="1" applyAlignment="1">
      <alignment horizontal="center" vertical="center" wrapText="1"/>
    </xf>
    <xf numFmtId="0" fontId="37" fillId="15" borderId="0" xfId="0" applyFont="1" applyFill="1" applyBorder="1" applyAlignment="1">
      <alignment horizontal="center" vertical="center" wrapText="1"/>
    </xf>
    <xf numFmtId="0" fontId="37" fillId="15" borderId="5" xfId="0" applyFont="1" applyFill="1" applyBorder="1" applyAlignment="1">
      <alignment horizontal="center" vertical="center" wrapText="1"/>
    </xf>
    <xf numFmtId="0" fontId="37" fillId="15" borderId="66" xfId="0" applyFont="1" applyFill="1" applyBorder="1" applyAlignment="1">
      <alignment horizontal="center" vertical="center" wrapText="1"/>
    </xf>
    <xf numFmtId="0" fontId="37" fillId="15" borderId="7" xfId="0" applyFont="1" applyFill="1" applyBorder="1" applyAlignment="1">
      <alignment horizontal="center" vertical="center" wrapText="1"/>
    </xf>
    <xf numFmtId="0" fontId="37" fillId="15" borderId="8" xfId="0" applyFont="1" applyFill="1" applyBorder="1" applyAlignment="1">
      <alignment horizontal="center" vertical="center" wrapText="1"/>
    </xf>
    <xf numFmtId="0" fontId="3" fillId="11" borderId="40" xfId="0" applyFont="1" applyFill="1" applyBorder="1" applyAlignment="1">
      <alignment horizontal="center" vertical="center"/>
    </xf>
    <xf numFmtId="0" fontId="0" fillId="17" borderId="59" xfId="0" applyFill="1" applyBorder="1" applyAlignment="1">
      <alignment horizontal="center"/>
    </xf>
    <xf numFmtId="0" fontId="0" fillId="12" borderId="60" xfId="0" applyFill="1" applyBorder="1" applyAlignment="1">
      <alignment horizontal="center"/>
    </xf>
    <xf numFmtId="0" fontId="0" fillId="12" borderId="132" xfId="0" applyFill="1" applyBorder="1" applyAlignment="1">
      <alignment horizontal="center"/>
    </xf>
    <xf numFmtId="0" fontId="0" fillId="12" borderId="10" xfId="0" applyFill="1" applyBorder="1" applyAlignment="1">
      <alignment horizontal="center"/>
    </xf>
    <xf numFmtId="0" fontId="3" fillId="7" borderId="10" xfId="0" applyFont="1" applyFill="1" applyBorder="1" applyAlignment="1">
      <alignment horizontal="center" vertical="center"/>
    </xf>
    <xf numFmtId="0" fontId="3" fillId="7" borderId="14" xfId="0" applyFont="1" applyFill="1" applyBorder="1" applyAlignment="1">
      <alignment horizontal="center" vertical="center"/>
    </xf>
    <xf numFmtId="0" fontId="3" fillId="7" borderId="39" xfId="0" applyFont="1" applyFill="1" applyBorder="1" applyAlignment="1">
      <alignment horizontal="center" vertical="center"/>
    </xf>
    <xf numFmtId="0" fontId="3" fillId="7" borderId="114" xfId="0" applyFont="1" applyFill="1" applyBorder="1" applyAlignment="1">
      <alignment horizontal="center" vertical="center"/>
    </xf>
    <xf numFmtId="164" fontId="3" fillId="14" borderId="12" xfId="0" applyNumberFormat="1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3" fillId="6" borderId="41" xfId="0" applyFont="1" applyFill="1" applyBorder="1" applyAlignment="1">
      <alignment horizontal="center" vertical="center"/>
    </xf>
    <xf numFmtId="0" fontId="17" fillId="16" borderId="75" xfId="0" applyFont="1" applyFill="1" applyBorder="1" applyAlignment="1">
      <alignment horizontal="center" vertical="center"/>
    </xf>
    <xf numFmtId="0" fontId="17" fillId="16" borderId="0" xfId="0" applyFont="1" applyFill="1" applyBorder="1" applyAlignment="1">
      <alignment horizontal="center" vertical="center"/>
    </xf>
    <xf numFmtId="0" fontId="18" fillId="16" borderId="75" xfId="0" applyFont="1" applyFill="1" applyBorder="1" applyAlignment="1">
      <alignment horizontal="center" vertical="center"/>
    </xf>
    <xf numFmtId="0" fontId="18" fillId="16" borderId="0" xfId="0" applyFont="1" applyFill="1" applyBorder="1" applyAlignment="1">
      <alignment horizontal="center" vertical="center"/>
    </xf>
    <xf numFmtId="0" fontId="3" fillId="24" borderId="17" xfId="0" applyFont="1" applyFill="1" applyBorder="1" applyAlignment="1">
      <alignment horizontal="center" textRotation="135"/>
    </xf>
    <xf numFmtId="0" fontId="3" fillId="20" borderId="2" xfId="0" applyFont="1" applyFill="1" applyBorder="1" applyAlignment="1">
      <alignment horizontal="center" textRotation="135"/>
    </xf>
    <xf numFmtId="0" fontId="3" fillId="20" borderId="3" xfId="0" applyFont="1" applyFill="1" applyBorder="1" applyAlignment="1">
      <alignment horizontal="center" textRotation="135"/>
    </xf>
    <xf numFmtId="0" fontId="3" fillId="20" borderId="18" xfId="0" applyFont="1" applyFill="1" applyBorder="1" applyAlignment="1">
      <alignment horizontal="center" textRotation="135"/>
    </xf>
    <xf numFmtId="0" fontId="3" fillId="20" borderId="0" xfId="0" applyFont="1" applyFill="1" applyBorder="1" applyAlignment="1">
      <alignment horizontal="center" textRotation="135"/>
    </xf>
    <xf numFmtId="0" fontId="3" fillId="20" borderId="5" xfId="0" applyFont="1" applyFill="1" applyBorder="1" applyAlignment="1">
      <alignment horizontal="center" textRotation="135"/>
    </xf>
    <xf numFmtId="0" fontId="3" fillId="20" borderId="52" xfId="0" applyFont="1" applyFill="1" applyBorder="1" applyAlignment="1">
      <alignment horizontal="center" textRotation="135"/>
    </xf>
    <xf numFmtId="0" fontId="3" fillId="20" borderId="29" xfId="0" applyFont="1" applyFill="1" applyBorder="1" applyAlignment="1">
      <alignment horizontal="center" textRotation="135"/>
    </xf>
    <xf numFmtId="0" fontId="3" fillId="20" borderId="53" xfId="0" applyFont="1" applyFill="1" applyBorder="1" applyAlignment="1">
      <alignment horizontal="center" textRotation="135"/>
    </xf>
    <xf numFmtId="0" fontId="8" fillId="17" borderId="72" xfId="0" applyFont="1" applyFill="1" applyBorder="1" applyAlignment="1">
      <alignment horizontal="center" vertical="center" textRotation="180"/>
    </xf>
    <xf numFmtId="0" fontId="8" fillId="17" borderId="2" xfId="0" applyFont="1" applyFill="1" applyBorder="1" applyAlignment="1">
      <alignment horizontal="center" vertical="center" textRotation="180"/>
    </xf>
    <xf numFmtId="0" fontId="8" fillId="17" borderId="65" xfId="0" applyFont="1" applyFill="1" applyBorder="1" applyAlignment="1">
      <alignment horizontal="center" vertical="center" textRotation="180"/>
    </xf>
    <xf numFmtId="0" fontId="8" fillId="17" borderId="0" xfId="0" applyFont="1" applyFill="1" applyBorder="1" applyAlignment="1">
      <alignment horizontal="center" vertical="center" textRotation="180"/>
    </xf>
    <xf numFmtId="0" fontId="8" fillId="17" borderId="66" xfId="0" applyFont="1" applyFill="1" applyBorder="1" applyAlignment="1">
      <alignment horizontal="center" vertical="center" textRotation="180"/>
    </xf>
    <xf numFmtId="0" fontId="8" fillId="17" borderId="7" xfId="0" applyFont="1" applyFill="1" applyBorder="1" applyAlignment="1">
      <alignment horizontal="center" vertical="center" textRotation="180"/>
    </xf>
    <xf numFmtId="0" fontId="0" fillId="17" borderId="7" xfId="0" applyFill="1" applyBorder="1" applyAlignment="1">
      <alignment horizontal="center"/>
    </xf>
    <xf numFmtId="0" fontId="0" fillId="17" borderId="8" xfId="0" applyFill="1" applyBorder="1" applyAlignment="1">
      <alignment horizontal="center"/>
    </xf>
    <xf numFmtId="164" fontId="3" fillId="14" borderId="11" xfId="0" applyNumberFormat="1" applyFont="1" applyFill="1" applyBorder="1" applyAlignment="1">
      <alignment horizontal="center" vertical="center" textRotation="180"/>
    </xf>
    <xf numFmtId="0" fontId="3" fillId="10" borderId="11" xfId="0" applyFont="1" applyFill="1" applyBorder="1" applyAlignment="1">
      <alignment horizontal="center" vertical="center" textRotation="180"/>
    </xf>
    <xf numFmtId="0" fontId="3" fillId="10" borderId="14" xfId="0" applyFont="1" applyFill="1" applyBorder="1" applyAlignment="1">
      <alignment horizontal="center" vertical="center" textRotation="180"/>
    </xf>
    <xf numFmtId="0" fontId="0" fillId="12" borderId="71" xfId="0" applyFill="1" applyBorder="1" applyAlignment="1">
      <alignment horizontal="center"/>
    </xf>
    <xf numFmtId="164" fontId="3" fillId="14" borderId="13" xfId="0" applyNumberFormat="1" applyFont="1" applyFill="1" applyBorder="1" applyAlignment="1">
      <alignment horizontal="center" vertical="center" textRotation="180"/>
    </xf>
    <xf numFmtId="0" fontId="3" fillId="4" borderId="11" xfId="0" applyFont="1" applyFill="1" applyBorder="1" applyAlignment="1">
      <alignment horizontal="center" vertical="center" textRotation="180"/>
    </xf>
    <xf numFmtId="0" fontId="3" fillId="4" borderId="14" xfId="0" applyFont="1" applyFill="1" applyBorder="1" applyAlignment="1">
      <alignment horizontal="center" vertical="center" textRotation="180"/>
    </xf>
    <xf numFmtId="0" fontId="3" fillId="4" borderId="13" xfId="0" applyFont="1" applyFill="1" applyBorder="1" applyAlignment="1">
      <alignment horizontal="center" vertical="center" textRotation="180"/>
    </xf>
    <xf numFmtId="0" fontId="3" fillId="4" borderId="36" xfId="0" applyFont="1" applyFill="1" applyBorder="1" applyAlignment="1">
      <alignment horizontal="center" vertical="center" textRotation="180"/>
    </xf>
    <xf numFmtId="0" fontId="19" fillId="16" borderId="75" xfId="0" applyFont="1" applyFill="1" applyBorder="1" applyAlignment="1">
      <alignment horizontal="center" vertical="center"/>
    </xf>
    <xf numFmtId="0" fontId="19" fillId="16" borderId="0" xfId="0" applyFont="1" applyFill="1" applyBorder="1" applyAlignment="1">
      <alignment horizontal="center" vertical="center"/>
    </xf>
    <xf numFmtId="0" fontId="19" fillId="16" borderId="76" xfId="0" applyFont="1" applyFill="1" applyBorder="1" applyAlignment="1">
      <alignment horizontal="center" vertical="center"/>
    </xf>
    <xf numFmtId="0" fontId="19" fillId="16" borderId="77" xfId="0" applyFont="1" applyFill="1" applyBorder="1" applyAlignment="1">
      <alignment horizontal="center" vertical="center"/>
    </xf>
    <xf numFmtId="0" fontId="19" fillId="16" borderId="78" xfId="0" applyFont="1" applyFill="1" applyBorder="1" applyAlignment="1">
      <alignment horizontal="center" vertical="center"/>
    </xf>
    <xf numFmtId="0" fontId="19" fillId="16" borderId="79" xfId="0" applyFont="1" applyFill="1" applyBorder="1" applyAlignment="1">
      <alignment horizontal="center" vertical="center"/>
    </xf>
    <xf numFmtId="166" fontId="20" fillId="16" borderId="80" xfId="0" applyNumberFormat="1" applyFont="1" applyFill="1" applyBorder="1" applyAlignment="1">
      <alignment horizontal="center" vertical="center"/>
    </xf>
    <xf numFmtId="166" fontId="20" fillId="16" borderId="81" xfId="0" applyNumberFormat="1" applyFont="1" applyFill="1" applyBorder="1" applyAlignment="1">
      <alignment horizontal="center" vertical="center"/>
    </xf>
    <xf numFmtId="166" fontId="20" fillId="16" borderId="82" xfId="0" applyNumberFormat="1" applyFont="1" applyFill="1" applyBorder="1" applyAlignment="1">
      <alignment horizontal="center" vertical="center"/>
    </xf>
    <xf numFmtId="166" fontId="20" fillId="16" borderId="75" xfId="0" applyNumberFormat="1" applyFont="1" applyFill="1" applyBorder="1" applyAlignment="1">
      <alignment horizontal="center" vertical="center"/>
    </xf>
    <xf numFmtId="166" fontId="20" fillId="16" borderId="0" xfId="0" applyNumberFormat="1" applyFont="1" applyFill="1" applyBorder="1" applyAlignment="1">
      <alignment horizontal="center" vertical="center"/>
    </xf>
    <xf numFmtId="166" fontId="20" fillId="16" borderId="76" xfId="0" applyNumberFormat="1" applyFont="1" applyFill="1" applyBorder="1" applyAlignment="1">
      <alignment horizontal="center" vertical="center"/>
    </xf>
    <xf numFmtId="166" fontId="20" fillId="16" borderId="77" xfId="0" applyNumberFormat="1" applyFont="1" applyFill="1" applyBorder="1" applyAlignment="1">
      <alignment horizontal="center" vertical="center"/>
    </xf>
    <xf numFmtId="166" fontId="20" fillId="16" borderId="78" xfId="0" applyNumberFormat="1" applyFont="1" applyFill="1" applyBorder="1" applyAlignment="1">
      <alignment horizontal="center" vertical="center"/>
    </xf>
    <xf numFmtId="166" fontId="20" fillId="16" borderId="79" xfId="0" applyNumberFormat="1" applyFont="1" applyFill="1" applyBorder="1" applyAlignment="1">
      <alignment horizontal="center" vertical="center"/>
    </xf>
    <xf numFmtId="0" fontId="3" fillId="16" borderId="0" xfId="0" applyFont="1" applyFill="1" applyBorder="1" applyAlignment="1">
      <alignment horizontal="center" vertical="center"/>
    </xf>
    <xf numFmtId="0" fontId="3" fillId="16" borderId="76" xfId="0" applyFont="1" applyFill="1" applyBorder="1" applyAlignment="1">
      <alignment horizontal="center" vertical="center"/>
    </xf>
    <xf numFmtId="0" fontId="25" fillId="16" borderId="81" xfId="0" applyFont="1" applyFill="1" applyBorder="1" applyAlignment="1">
      <alignment horizontal="center" vertical="center"/>
    </xf>
    <xf numFmtId="0" fontId="25" fillId="16" borderId="82" xfId="0" applyFont="1" applyFill="1" applyBorder="1" applyAlignment="1">
      <alignment horizontal="center" vertical="center"/>
    </xf>
    <xf numFmtId="0" fontId="24" fillId="13" borderId="49" xfId="0" applyFont="1" applyFill="1" applyBorder="1" applyAlignment="1">
      <alignment horizontal="center" vertical="center"/>
    </xf>
    <xf numFmtId="0" fontId="24" fillId="13" borderId="22" xfId="0" applyFont="1" applyFill="1" applyBorder="1" applyAlignment="1">
      <alignment horizontal="center" vertical="center"/>
    </xf>
    <xf numFmtId="0" fontId="24" fillId="13" borderId="23" xfId="0" applyFont="1" applyFill="1" applyBorder="1" applyAlignment="1">
      <alignment horizontal="center" vertical="center"/>
    </xf>
    <xf numFmtId="0" fontId="24" fillId="13" borderId="0" xfId="0" applyFont="1" applyFill="1" applyBorder="1" applyAlignment="1">
      <alignment horizontal="center" vertical="center"/>
    </xf>
    <xf numFmtId="0" fontId="11" fillId="16" borderId="75" xfId="0" applyFont="1" applyFill="1" applyBorder="1" applyAlignment="1">
      <alignment horizontal="center" vertical="center"/>
    </xf>
    <xf numFmtId="0" fontId="11" fillId="16" borderId="0" xfId="0" applyFont="1" applyFill="1" applyBorder="1" applyAlignment="1">
      <alignment horizontal="center" vertical="center"/>
    </xf>
    <xf numFmtId="0" fontId="0" fillId="17" borderId="136" xfId="0" applyFill="1" applyBorder="1" applyAlignment="1">
      <alignment horizontal="center"/>
    </xf>
    <xf numFmtId="0" fontId="31" fillId="14" borderId="113" xfId="0" applyFont="1" applyFill="1" applyBorder="1" applyAlignment="1">
      <alignment horizontal="center" vertical="center"/>
    </xf>
    <xf numFmtId="0" fontId="3" fillId="11" borderId="11" xfId="0" applyFont="1" applyFill="1" applyBorder="1" applyAlignment="1">
      <alignment horizontal="center" vertical="center" textRotation="180"/>
    </xf>
    <xf numFmtId="0" fontId="3" fillId="11" borderId="14" xfId="0" applyFont="1" applyFill="1" applyBorder="1" applyAlignment="1">
      <alignment horizontal="center" vertical="center" textRotation="180"/>
    </xf>
    <xf numFmtId="0" fontId="17" fillId="13" borderId="0" xfId="0" applyFont="1" applyFill="1" applyBorder="1" applyAlignment="1">
      <alignment horizontal="center" vertical="center"/>
    </xf>
    <xf numFmtId="0" fontId="17" fillId="13" borderId="24" xfId="0" applyFont="1" applyFill="1" applyBorder="1" applyAlignment="1">
      <alignment horizontal="center" vertical="center"/>
    </xf>
    <xf numFmtId="0" fontId="3" fillId="13" borderId="23" xfId="0" applyFont="1" applyFill="1" applyBorder="1" applyAlignment="1">
      <alignment horizontal="center"/>
    </xf>
    <xf numFmtId="0" fontId="3" fillId="13" borderId="0" xfId="0" applyFont="1" applyFill="1" applyBorder="1" applyAlignment="1">
      <alignment horizontal="center"/>
    </xf>
    <xf numFmtId="0" fontId="1" fillId="15" borderId="115" xfId="0" applyFont="1" applyFill="1" applyBorder="1" applyAlignment="1" applyProtection="1">
      <alignment horizontal="center"/>
    </xf>
    <xf numFmtId="0" fontId="1" fillId="15" borderId="102" xfId="0" applyFont="1" applyFill="1" applyBorder="1" applyAlignment="1" applyProtection="1">
      <alignment horizontal="center"/>
    </xf>
    <xf numFmtId="0" fontId="1" fillId="15" borderId="103" xfId="0" applyFont="1" applyFill="1" applyBorder="1" applyAlignment="1" applyProtection="1">
      <alignment horizontal="center"/>
    </xf>
    <xf numFmtId="0" fontId="1" fillId="15" borderId="101" xfId="0" applyFont="1" applyFill="1" applyBorder="1" applyAlignment="1" applyProtection="1">
      <alignment horizontal="center"/>
    </xf>
    <xf numFmtId="0" fontId="1" fillId="15" borderId="100" xfId="0" applyFont="1" applyFill="1" applyBorder="1" applyAlignment="1" applyProtection="1">
      <alignment horizontal="center"/>
    </xf>
    <xf numFmtId="0" fontId="5" fillId="14" borderId="0" xfId="0" applyFont="1" applyFill="1" applyBorder="1" applyAlignment="1" applyProtection="1">
      <alignment horizontal="center"/>
    </xf>
    <xf numFmtId="166" fontId="20" fillId="13" borderId="49" xfId="0" applyNumberFormat="1" applyFont="1" applyFill="1" applyBorder="1" applyAlignment="1">
      <alignment horizontal="center" vertical="center"/>
    </xf>
    <xf numFmtId="166" fontId="20" fillId="13" borderId="22" xfId="0" applyNumberFormat="1" applyFont="1" applyFill="1" applyBorder="1" applyAlignment="1">
      <alignment horizontal="center" vertical="center"/>
    </xf>
    <xf numFmtId="166" fontId="20" fillId="13" borderId="48" xfId="0" applyNumberFormat="1" applyFont="1" applyFill="1" applyBorder="1" applyAlignment="1">
      <alignment horizontal="center" vertical="center"/>
    </xf>
    <xf numFmtId="166" fontId="20" fillId="13" borderId="23" xfId="0" applyNumberFormat="1" applyFont="1" applyFill="1" applyBorder="1" applyAlignment="1">
      <alignment horizontal="center" vertical="center"/>
    </xf>
    <xf numFmtId="166" fontId="20" fillId="13" borderId="0" xfId="0" applyNumberFormat="1" applyFont="1" applyFill="1" applyBorder="1" applyAlignment="1">
      <alignment horizontal="center" vertical="center"/>
    </xf>
    <xf numFmtId="166" fontId="20" fillId="13" borderId="24" xfId="0" applyNumberFormat="1" applyFont="1" applyFill="1" applyBorder="1" applyAlignment="1">
      <alignment horizontal="center" vertical="center"/>
    </xf>
    <xf numFmtId="166" fontId="20" fillId="13" borderId="25" xfId="0" applyNumberFormat="1" applyFont="1" applyFill="1" applyBorder="1" applyAlignment="1">
      <alignment horizontal="center" vertical="center"/>
    </xf>
    <xf numFmtId="166" fontId="20" fillId="13" borderId="26" xfId="0" applyNumberFormat="1" applyFont="1" applyFill="1" applyBorder="1" applyAlignment="1">
      <alignment horizontal="center" vertical="center"/>
    </xf>
    <xf numFmtId="166" fontId="20" fillId="13" borderId="27" xfId="0" applyNumberFormat="1" applyFont="1" applyFill="1" applyBorder="1" applyAlignment="1">
      <alignment horizontal="center" vertical="center"/>
    </xf>
    <xf numFmtId="0" fontId="3" fillId="13" borderId="25" xfId="0" applyFont="1" applyFill="1" applyBorder="1" applyAlignment="1">
      <alignment horizontal="center" vertical="center"/>
    </xf>
    <xf numFmtId="0" fontId="3" fillId="13" borderId="26" xfId="0" applyFont="1" applyFill="1" applyBorder="1" applyAlignment="1">
      <alignment horizontal="center" vertical="center"/>
    </xf>
    <xf numFmtId="0" fontId="19" fillId="13" borderId="0" xfId="0" applyFont="1" applyFill="1" applyBorder="1" applyAlignment="1" applyProtection="1">
      <alignment horizontal="center" vertical="center"/>
    </xf>
    <xf numFmtId="0" fontId="19" fillId="13" borderId="24" xfId="0" applyFont="1" applyFill="1" applyBorder="1" applyAlignment="1" applyProtection="1">
      <alignment horizontal="center" vertical="center"/>
    </xf>
    <xf numFmtId="0" fontId="19" fillId="13" borderId="26" xfId="0" applyFont="1" applyFill="1" applyBorder="1" applyAlignment="1" applyProtection="1">
      <alignment horizontal="center" vertical="center"/>
    </xf>
    <xf numFmtId="0" fontId="19" fillId="13" borderId="27" xfId="0" applyFont="1" applyFill="1" applyBorder="1" applyAlignment="1" applyProtection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25" borderId="11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center"/>
    </xf>
  </cellXfs>
  <cellStyles count="1">
    <cellStyle name="Standard" xfId="0" builtinId="0"/>
  </cellStyles>
  <dxfs count="60">
    <dxf>
      <fill>
        <patternFill patternType="lightDown">
          <fgColor rgb="FF00FF00"/>
        </patternFill>
      </fill>
    </dxf>
    <dxf>
      <fill>
        <patternFill patternType="lightDown">
          <fgColor theme="9" tint="-0.24994659260841701"/>
        </patternFill>
      </fill>
    </dxf>
    <dxf>
      <fill>
        <patternFill patternType="lightDown">
          <fgColor theme="9" tint="-0.24994659260841701"/>
        </patternFill>
      </fill>
    </dxf>
    <dxf>
      <fill>
        <patternFill patternType="lightDown">
          <fgColor rgb="FF00FF00"/>
        </patternFill>
      </fill>
    </dxf>
    <dxf>
      <fill>
        <patternFill patternType="lightDown">
          <fgColor theme="9" tint="-0.24994659260841701"/>
        </patternFill>
      </fill>
    </dxf>
    <dxf>
      <fill>
        <patternFill patternType="lightDown">
          <fgColor rgb="FF00FF00"/>
        </patternFill>
      </fill>
    </dxf>
    <dxf>
      <fill>
        <patternFill patternType="lightDown">
          <fgColor theme="9" tint="-0.24994659260841701"/>
        </patternFill>
      </fill>
    </dxf>
    <dxf>
      <fill>
        <patternFill patternType="lightDown">
          <fgColor rgb="FF00FF00"/>
        </patternFill>
      </fill>
    </dxf>
    <dxf>
      <fill>
        <patternFill patternType="lightDown">
          <fgColor theme="9" tint="-0.24994659260841701"/>
        </patternFill>
      </fill>
    </dxf>
    <dxf>
      <fill>
        <patternFill patternType="lightDown">
          <fgColor rgb="FF00FF00"/>
        </patternFill>
      </fill>
    </dxf>
    <dxf>
      <fill>
        <patternFill patternType="lightDown">
          <fgColor theme="9" tint="-0.24994659260841701"/>
        </patternFill>
      </fill>
    </dxf>
    <dxf>
      <fill>
        <patternFill patternType="lightDown">
          <fgColor rgb="FF00FF00"/>
        </patternFill>
      </fill>
    </dxf>
    <dxf>
      <fill>
        <patternFill patternType="lightDown">
          <fgColor theme="9" tint="-0.24994659260841701"/>
        </patternFill>
      </fill>
    </dxf>
    <dxf>
      <fill>
        <patternFill patternType="lightDown">
          <fgColor rgb="FF00FF00"/>
        </patternFill>
      </fill>
    </dxf>
    <dxf>
      <fill>
        <patternFill patternType="lightDown">
          <fgColor theme="9" tint="-0.24994659260841701"/>
        </patternFill>
      </fill>
    </dxf>
    <dxf>
      <fill>
        <patternFill patternType="lightDown">
          <fgColor rgb="FF00FF00"/>
        </patternFill>
      </fill>
    </dxf>
    <dxf>
      <fill>
        <patternFill patternType="lightDown">
          <fgColor theme="9" tint="-0.24994659260841701"/>
        </patternFill>
      </fill>
    </dxf>
    <dxf>
      <fill>
        <patternFill patternType="lightDown">
          <fgColor rgb="FF00FF00"/>
        </patternFill>
      </fill>
    </dxf>
    <dxf>
      <fill>
        <patternFill patternType="lightDown">
          <fgColor theme="9" tint="-0.24994659260841701"/>
        </patternFill>
      </fill>
    </dxf>
    <dxf>
      <fill>
        <patternFill patternType="lightDown">
          <fgColor rgb="FF00FF00"/>
        </patternFill>
      </fill>
    </dxf>
    <dxf>
      <fill>
        <patternFill patternType="lightDown">
          <fgColor theme="9" tint="-0.24994659260841701"/>
        </patternFill>
      </fill>
    </dxf>
    <dxf>
      <fill>
        <patternFill patternType="lightDown">
          <fgColor rgb="FF00FF00"/>
        </patternFill>
      </fill>
    </dxf>
    <dxf>
      <fill>
        <patternFill patternType="lightDown">
          <fgColor theme="9" tint="-0.24994659260841701"/>
        </patternFill>
      </fill>
    </dxf>
    <dxf>
      <fill>
        <patternFill patternType="lightDown">
          <fgColor rgb="FF00FF00"/>
        </patternFill>
      </fill>
    </dxf>
    <dxf>
      <fill>
        <patternFill patternType="lightDown">
          <fgColor theme="9" tint="-0.24994659260841701"/>
        </patternFill>
      </fill>
    </dxf>
    <dxf>
      <fill>
        <patternFill patternType="lightDown">
          <fgColor rgb="FF00FF00"/>
        </patternFill>
      </fill>
    </dxf>
    <dxf>
      <fill>
        <patternFill patternType="lightDown">
          <fgColor theme="9" tint="-0.24994659260841701"/>
        </patternFill>
      </fill>
    </dxf>
    <dxf>
      <fill>
        <patternFill patternType="lightDown">
          <fgColor rgb="FF00FF00"/>
        </patternFill>
      </fill>
    </dxf>
    <dxf>
      <fill>
        <patternFill patternType="lightDown">
          <fgColor theme="9" tint="-0.24994659260841701"/>
        </patternFill>
      </fill>
    </dxf>
    <dxf>
      <fill>
        <patternFill patternType="lightDown">
          <fgColor rgb="FF00FF00"/>
        </patternFill>
      </fill>
    </dxf>
    <dxf>
      <fill>
        <patternFill patternType="lightDown">
          <fgColor theme="9" tint="-0.24994659260841701"/>
        </patternFill>
      </fill>
    </dxf>
    <dxf>
      <fill>
        <patternFill patternType="lightDown">
          <fgColor rgb="FF00FF00"/>
        </patternFill>
      </fill>
    </dxf>
    <dxf>
      <fill>
        <patternFill patternType="lightDown">
          <fgColor theme="9" tint="-0.24994659260841701"/>
        </patternFill>
      </fill>
    </dxf>
    <dxf>
      <fill>
        <patternFill patternType="lightDown">
          <fgColor rgb="FF00FF00"/>
        </patternFill>
      </fill>
    </dxf>
    <dxf>
      <fill>
        <patternFill patternType="lightDown">
          <fgColor theme="9" tint="-0.24994659260841701"/>
        </patternFill>
      </fill>
    </dxf>
    <dxf>
      <fill>
        <patternFill patternType="lightDown">
          <fgColor rgb="FF00FF00"/>
        </patternFill>
      </fill>
    </dxf>
    <dxf>
      <fill>
        <patternFill patternType="lightDown">
          <fgColor theme="9" tint="-0.24994659260841701"/>
        </patternFill>
      </fill>
    </dxf>
    <dxf>
      <fill>
        <patternFill patternType="lightDown">
          <fgColor rgb="FF00FF00"/>
        </patternFill>
      </fill>
    </dxf>
    <dxf>
      <fill>
        <patternFill patternType="lightDown">
          <fgColor theme="9" tint="-0.24994659260841701"/>
        </patternFill>
      </fill>
    </dxf>
    <dxf>
      <fill>
        <patternFill patternType="lightDown">
          <fgColor rgb="FF00FF00"/>
        </patternFill>
      </fill>
    </dxf>
    <dxf>
      <fill>
        <patternFill patternType="lightDown">
          <fgColor theme="9" tint="-0.24994659260841701"/>
        </patternFill>
      </fill>
    </dxf>
    <dxf>
      <fill>
        <patternFill patternType="lightDown">
          <fgColor rgb="FF00FF00"/>
        </patternFill>
      </fill>
    </dxf>
    <dxf>
      <fill>
        <patternFill patternType="lightDown">
          <fgColor theme="9" tint="-0.24994659260841701"/>
        </patternFill>
      </fill>
    </dxf>
    <dxf>
      <fill>
        <patternFill patternType="lightDown">
          <fgColor rgb="FF00FF00"/>
        </patternFill>
      </fill>
    </dxf>
    <dxf>
      <fill>
        <patternFill patternType="lightDown">
          <fgColor theme="9" tint="-0.24994659260841701"/>
        </patternFill>
      </fill>
    </dxf>
    <dxf>
      <fill>
        <patternFill patternType="lightDown">
          <fgColor rgb="FF00FF00"/>
        </patternFill>
      </fill>
    </dxf>
    <dxf>
      <fill>
        <patternFill patternType="lightDown">
          <fgColor theme="9" tint="-0.24994659260841701"/>
        </patternFill>
      </fill>
    </dxf>
    <dxf>
      <fill>
        <patternFill patternType="lightDown">
          <fgColor rgb="FF00FF00"/>
        </patternFill>
      </fill>
    </dxf>
    <dxf>
      <fill>
        <patternFill patternType="lightDown">
          <fgColor theme="9" tint="-0.24994659260841701"/>
        </patternFill>
      </fill>
    </dxf>
    <dxf>
      <fill>
        <patternFill patternType="lightDown">
          <fgColor rgb="FF00FF00"/>
        </patternFill>
      </fill>
    </dxf>
    <dxf>
      <fill>
        <patternFill patternType="lightDown">
          <fgColor theme="9" tint="-0.24994659260841701"/>
        </patternFill>
      </fill>
    </dxf>
    <dxf>
      <fill>
        <patternFill patternType="lightDown">
          <fgColor rgb="FF00FF00"/>
        </patternFill>
      </fill>
    </dxf>
    <dxf>
      <fill>
        <patternFill patternType="lightDown">
          <fgColor theme="9" tint="-0.24994659260841701"/>
        </patternFill>
      </fill>
    </dxf>
    <dxf>
      <fill>
        <patternFill patternType="lightDown">
          <fgColor rgb="FF00FF00"/>
        </patternFill>
      </fill>
    </dxf>
    <dxf>
      <fill>
        <patternFill patternType="lightDown">
          <fgColor theme="9" tint="-0.24994659260841701"/>
        </patternFill>
      </fill>
    </dxf>
    <dxf>
      <fill>
        <patternFill patternType="lightDown">
          <fgColor rgb="FF00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CC00"/>
        </patternFill>
      </fill>
    </dxf>
    <dxf>
      <fill>
        <patternFill>
          <bgColor theme="3" tint="0.39994506668294322"/>
        </patternFill>
      </fill>
    </dxf>
    <dxf>
      <fill>
        <patternFill>
          <bgColor rgb="FFFFCC00"/>
        </patternFill>
      </fill>
    </dxf>
  </dxfs>
  <tableStyles count="0" defaultTableStyle="TableStyleMedium2" defaultPivotStyle="PivotStyleLight16"/>
  <colors>
    <mruColors>
      <color rgb="FFEE7C58"/>
      <color rgb="FFF79B4F"/>
      <color rgb="FF00FF00"/>
      <color rgb="FF67F319"/>
      <color rgb="FFFFFF66"/>
      <color rgb="FFCCECFF"/>
      <color rgb="FFD7D7D7"/>
      <color rgb="FFFF6969"/>
      <color rgb="FFFF4F4F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44125128747281"/>
          <c:y val="0.17264220109924089"/>
          <c:w val="0.78504362699860109"/>
          <c:h val="0.82399657518307234"/>
        </c:manualLayout>
      </c:layout>
      <c:doughnutChart>
        <c:varyColors val="1"/>
        <c:ser>
          <c:idx val="0"/>
          <c:order val="0"/>
          <c:tx>
            <c:v>Tachoscheibe</c:v>
          </c:tx>
          <c:dPt>
            <c:idx val="0"/>
            <c:bubble3D val="0"/>
            <c:spPr>
              <a:solidFill>
                <a:srgbClr val="FF0000"/>
              </a:solidFill>
              <a:ln>
                <a:solidFill>
                  <a:schemeClr val="bg1">
                    <a:lumMod val="50000"/>
                  </a:schemeClr>
                </a:solidFill>
              </a:ln>
            </c:spPr>
          </c:dPt>
          <c:dPt>
            <c:idx val="1"/>
            <c:bubble3D val="0"/>
            <c:spPr>
              <a:solidFill>
                <a:srgbClr val="C00000"/>
              </a:solidFill>
              <a:ln>
                <a:solidFill>
                  <a:schemeClr val="bg1">
                    <a:lumMod val="50000"/>
                  </a:schemeClr>
                </a:solidFill>
              </a:ln>
            </c:spPr>
          </c:dPt>
          <c:dPt>
            <c:idx val="2"/>
            <c:bubble3D val="0"/>
            <c:spPr>
              <a:solidFill>
                <a:srgbClr val="EE7C58"/>
              </a:solidFill>
              <a:ln>
                <a:solidFill>
                  <a:schemeClr val="bg1">
                    <a:lumMod val="50000"/>
                  </a:schemeClr>
                </a:solidFill>
              </a:ln>
            </c:spPr>
          </c:dPt>
          <c:dPt>
            <c:idx val="3"/>
            <c:bubble3D val="0"/>
            <c:spPr>
              <a:solidFill>
                <a:srgbClr val="FFC000"/>
              </a:solidFill>
              <a:ln>
                <a:solidFill>
                  <a:schemeClr val="bg1">
                    <a:lumMod val="50000"/>
                  </a:schemeClr>
                </a:solidFill>
              </a:ln>
            </c:spPr>
          </c:dPt>
          <c:dPt>
            <c:idx val="4"/>
            <c:bubble3D val="0"/>
            <c:spPr>
              <a:solidFill>
                <a:srgbClr val="FFFF00"/>
              </a:solidFill>
              <a:ln>
                <a:solidFill>
                  <a:schemeClr val="bg1">
                    <a:lumMod val="50000"/>
                  </a:schemeClr>
                </a:solidFill>
              </a:ln>
            </c:spPr>
          </c:dPt>
          <c:dPt>
            <c:idx val="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solidFill>
                  <a:schemeClr val="bg1">
                    <a:lumMod val="50000"/>
                  </a:schemeClr>
                </a:solidFill>
              </a:ln>
            </c:spPr>
          </c:dPt>
          <c:dPt>
            <c:idx val="6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bg1">
                    <a:lumMod val="50000"/>
                  </a:schemeClr>
                </a:solidFill>
              </a:ln>
            </c:spPr>
          </c:dPt>
          <c:dPt>
            <c:idx val="7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bg1">
                    <a:lumMod val="50000"/>
                  </a:schemeClr>
                </a:solidFill>
              </a:ln>
            </c:spPr>
          </c:dPt>
          <c:dPt>
            <c:idx val="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solidFill>
                  <a:schemeClr val="bg1">
                    <a:lumMod val="50000"/>
                  </a:schemeClr>
                </a:solidFill>
              </a:ln>
            </c:spPr>
          </c:dPt>
          <c:dPt>
            <c:idx val="9"/>
            <c:bubble3D val="0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bg1">
                    <a:lumMod val="50000"/>
                  </a:schemeClr>
                </a:solidFill>
              </a:ln>
            </c:spPr>
          </c:dPt>
          <c:dPt>
            <c:idx val="10"/>
            <c:bubble3D val="0"/>
            <c:spPr>
              <a:noFill/>
            </c:spPr>
          </c:dPt>
          <c:val>
            <c:numRef>
              <c:f>Grunddaten!$I$3:$I$13</c:f>
              <c:numCache>
                <c:formatCode>General</c:formatCode>
                <c:ptCount val="1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catterChart>
        <c:scatterStyle val="lineMarker"/>
        <c:varyColors val="0"/>
        <c:ser>
          <c:idx val="1"/>
          <c:order val="1"/>
          <c:tx>
            <c:v>Spieler1</c:v>
          </c:tx>
          <c:spPr>
            <a:ln>
              <a:solidFill>
                <a:srgbClr val="00FF00"/>
              </a:solidFill>
              <a:headEnd type="oval"/>
              <a:tailEnd type="arrow"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xVal>
            <c:numRef>
              <c:f>Grunddaten!$I$22:$I$23</c:f>
              <c:numCache>
                <c:formatCode>0.00</c:formatCode>
                <c:ptCount val="2"/>
                <c:pt idx="0">
                  <c:v>0</c:v>
                </c:pt>
                <c:pt idx="1">
                  <c:v>-0.7128052193506943</c:v>
                </c:pt>
              </c:numCache>
            </c:numRef>
          </c:xVal>
          <c:yVal>
            <c:numRef>
              <c:f>Grunddaten!$J$22:$J$23</c:f>
              <c:numCache>
                <c:formatCode>0.00</c:formatCode>
                <c:ptCount val="2"/>
                <c:pt idx="0">
                  <c:v>0</c:v>
                </c:pt>
                <c:pt idx="1">
                  <c:v>0.36319239979163753</c:v>
                </c:pt>
              </c:numCache>
            </c:numRef>
          </c:yVal>
          <c:smooth val="0"/>
        </c:ser>
        <c:ser>
          <c:idx val="2"/>
          <c:order val="2"/>
          <c:tx>
            <c:v>Spieler2</c:v>
          </c:tx>
          <c:spPr>
            <a:ln>
              <a:solidFill>
                <a:schemeClr val="accent6">
                  <a:lumMod val="75000"/>
                </a:schemeClr>
              </a:solidFill>
              <a:headEnd type="oval"/>
              <a:tailEnd type="arrow"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xVal>
            <c:numRef>
              <c:f>Grunddaten!$L$22:$L$23</c:f>
              <c:numCache>
                <c:formatCode>0.00</c:formatCode>
                <c:ptCount val="2"/>
                <c:pt idx="0">
                  <c:v>0</c:v>
                </c:pt>
                <c:pt idx="1">
                  <c:v>-0.7128052193506943</c:v>
                </c:pt>
              </c:numCache>
            </c:numRef>
          </c:xVal>
          <c:yVal>
            <c:numRef>
              <c:f>Grunddaten!$M$22:$M$23</c:f>
              <c:numCache>
                <c:formatCode>0.00</c:formatCode>
                <c:ptCount val="2"/>
                <c:pt idx="0">
                  <c:v>0</c:v>
                </c:pt>
                <c:pt idx="1">
                  <c:v>0.36319239979163753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596416"/>
        <c:axId val="145586432"/>
      </c:scatterChart>
      <c:valAx>
        <c:axId val="145586432"/>
        <c:scaling>
          <c:orientation val="minMax"/>
          <c:max val="1"/>
          <c:min val="-1"/>
        </c:scaling>
        <c:delete val="1"/>
        <c:axPos val="l"/>
        <c:majorGridlines>
          <c:spPr>
            <a:ln>
              <a:noFill/>
            </a:ln>
          </c:spPr>
        </c:majorGridlines>
        <c:numFmt formatCode="0.00" sourceLinked="1"/>
        <c:majorTickMark val="out"/>
        <c:minorTickMark val="none"/>
        <c:tickLblPos val="nextTo"/>
        <c:crossAx val="145596416"/>
        <c:crosses val="autoZero"/>
        <c:crossBetween val="midCat"/>
      </c:valAx>
      <c:valAx>
        <c:axId val="145596416"/>
        <c:scaling>
          <c:orientation val="minMax"/>
          <c:max val="1"/>
          <c:min val="-1"/>
        </c:scaling>
        <c:delete val="1"/>
        <c:axPos val="b"/>
        <c:majorGridlines>
          <c:spPr>
            <a:ln>
              <a:noFill/>
            </a:ln>
          </c:spPr>
        </c:majorGridlines>
        <c:numFmt formatCode="0.00" sourceLinked="1"/>
        <c:majorTickMark val="out"/>
        <c:minorTickMark val="none"/>
        <c:tickLblPos val="nextTo"/>
        <c:crossAx val="145586432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/>
          <a:lstStyle/>
          <a:p>
            <a:pPr>
              <a:defRPr/>
            </a:pPr>
            <a:r>
              <a:rPr lang="de-DE"/>
              <a:t>Entwicklung</a:t>
            </a:r>
            <a:r>
              <a:rPr lang="de-DE" baseline="0"/>
              <a:t> des Vermögens</a:t>
            </a:r>
            <a:endParaRPr lang="de-DE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Grunddaten!$B$5</c:f>
              <c:strCache>
                <c:ptCount val="1"/>
                <c:pt idx="0">
                  <c:v>Name Spieler 1</c:v>
                </c:pt>
              </c:strCache>
            </c:strRef>
          </c:tx>
          <c:spPr>
            <a:ln>
              <a:solidFill>
                <a:srgbClr val="67F319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numRef>
              <c:f>[0]!X_Achse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[0]!Reihe_S1</c:f>
              <c:numCache>
                <c:formatCode>#,##0.00\ [$€-407]</c:formatCode>
                <c:ptCount val="1"/>
                <c:pt idx="0">
                  <c:v>15000</c:v>
                </c:pt>
              </c:numCache>
            </c:numRef>
          </c:val>
          <c:smooth val="1"/>
        </c:ser>
        <c:ser>
          <c:idx val="2"/>
          <c:order val="1"/>
          <c:tx>
            <c:v>davon: Barvermögen</c:v>
          </c:tx>
          <c:spPr>
            <a:ln>
              <a:solidFill>
                <a:srgbClr val="00FF00"/>
              </a:solidFill>
              <a:prstDash val="dash"/>
            </a:ln>
          </c:spPr>
          <c:marker>
            <c:symbol val="none"/>
          </c:marker>
          <c:val>
            <c:numRef>
              <c:f>[0]!B_S1</c:f>
              <c:numCache>
                <c:formatCode>#,##0.00\ [$€-407]</c:formatCode>
                <c:ptCount val="1"/>
                <c:pt idx="0">
                  <c:v>15000</c:v>
                </c:pt>
              </c:numCache>
            </c:numRef>
          </c:val>
          <c:smooth val="1"/>
        </c:ser>
        <c:ser>
          <c:idx val="1"/>
          <c:order val="2"/>
          <c:tx>
            <c:strRef>
              <c:f>Grunddaten!$C$5</c:f>
              <c:strCache>
                <c:ptCount val="1"/>
                <c:pt idx="0">
                  <c:v>Name Spieler 2</c:v>
                </c:pt>
              </c:strCache>
            </c:strRef>
          </c:tx>
          <c:spPr>
            <a:ln>
              <a:solidFill>
                <a:srgbClr val="FFC000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numRef>
              <c:f>[0]!X_Achse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[0]!Reihe_S2</c:f>
              <c:numCache>
                <c:formatCode>#,##0.00\ [$€-407]</c:formatCode>
                <c:ptCount val="1"/>
                <c:pt idx="0">
                  <c:v>15000</c:v>
                </c:pt>
              </c:numCache>
            </c:numRef>
          </c:val>
          <c:smooth val="1"/>
        </c:ser>
        <c:ser>
          <c:idx val="3"/>
          <c:order val="3"/>
          <c:tx>
            <c:v>davon: Barvermögen</c:v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val>
            <c:numRef>
              <c:f>[0]!B_S2</c:f>
              <c:numCache>
                <c:formatCode>#,##0.00\ [$€-407]</c:formatCode>
                <c:ptCount val="1"/>
                <c:pt idx="0">
                  <c:v>15000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646720"/>
        <c:axId val="145671296"/>
      </c:lineChart>
      <c:catAx>
        <c:axId val="145646720"/>
        <c:scaling>
          <c:orientation val="minMax"/>
        </c:scaling>
        <c:delete val="0"/>
        <c:axPos val="b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1400"/>
                </a:pPr>
                <a:r>
                  <a:rPr lang="de-DE" sz="1400"/>
                  <a:t>Rundenanzahl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5671296"/>
        <c:crosses val="autoZero"/>
        <c:auto val="1"/>
        <c:lblAlgn val="ctr"/>
        <c:lblOffset val="100"/>
        <c:noMultiLvlLbl val="0"/>
      </c:catAx>
      <c:valAx>
        <c:axId val="14567129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de-DE" sz="1400"/>
                  <a:t>Vermögen</a:t>
                </a:r>
              </a:p>
            </c:rich>
          </c:tx>
          <c:overlay val="0"/>
        </c:title>
        <c:numFmt formatCode="#,##0\ &quot;€&quot;" sourceLinked="0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de-DE"/>
          </a:p>
        </c:txPr>
        <c:crossAx val="145646720"/>
        <c:crossesAt val="1"/>
        <c:crossBetween val="midCat"/>
      </c:valAx>
      <c:spPr>
        <a:pattFill prst="pct10">
          <a:fgClr>
            <a:schemeClr val="bg1">
              <a:lumMod val="65000"/>
            </a:schemeClr>
          </a:fgClr>
          <a:bgClr>
            <a:schemeClr val="bg1"/>
          </a:bgClr>
        </a:pattFill>
        <a:ln w="25400">
          <a:solidFill>
            <a:schemeClr val="tx1"/>
          </a:solidFill>
        </a:ln>
      </c:spPr>
    </c:plotArea>
    <c:legend>
      <c:legendPos val="b"/>
      <c:overlay val="0"/>
      <c:spPr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legend>
    <c:plotVisOnly val="1"/>
    <c:dispBlanksAs val="gap"/>
    <c:showDLblsOverMax val="0"/>
  </c:chart>
  <c:spPr>
    <a:noFill/>
  </c:sp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Diagramm1">
    <tabColor theme="6" tint="0.39997558519241921"/>
  </sheetPr>
  <sheetViews>
    <sheetView zoomScale="159" workbookViewId="0" zoomToFit="1"/>
  </sheetViews>
  <sheetProtection password="9025" content="1" objects="1"/>
  <pageMargins left="0.7" right="0.7" top="0.78740157499999996" bottom="0.78740157499999996" header="0.3" footer="0.3"/>
  <drawing r:id="rId1"/>
  <legacyDrawing r:id="rId2"/>
</chartsheet>
</file>

<file path=xl/ctrlProps/ctrlProp1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image" Target="../media/image12.emf"/><Relationship Id="rId18" Type="http://schemas.openxmlformats.org/officeDocument/2006/relationships/image" Target="../media/image6.emf"/><Relationship Id="rId3" Type="http://schemas.openxmlformats.org/officeDocument/2006/relationships/image" Target="../media/image19.emf"/><Relationship Id="rId21" Type="http://schemas.openxmlformats.org/officeDocument/2006/relationships/image" Target="../media/image4.emf"/><Relationship Id="rId7" Type="http://schemas.openxmlformats.org/officeDocument/2006/relationships/image" Target="../media/image18.emf"/><Relationship Id="rId12" Type="http://schemas.openxmlformats.org/officeDocument/2006/relationships/image" Target="../media/image13.emf"/><Relationship Id="rId17" Type="http://schemas.openxmlformats.org/officeDocument/2006/relationships/image" Target="../media/image8.emf"/><Relationship Id="rId25" Type="http://schemas.openxmlformats.org/officeDocument/2006/relationships/image" Target="../media/image25.emf"/><Relationship Id="rId2" Type="http://schemas.openxmlformats.org/officeDocument/2006/relationships/image" Target="../media/image21.emf"/><Relationship Id="rId16" Type="http://schemas.openxmlformats.org/officeDocument/2006/relationships/image" Target="../media/image9.emf"/><Relationship Id="rId20" Type="http://schemas.openxmlformats.org/officeDocument/2006/relationships/image" Target="../media/image2.emf"/><Relationship Id="rId1" Type="http://schemas.openxmlformats.org/officeDocument/2006/relationships/image" Target="../media/image20.emf"/><Relationship Id="rId6" Type="http://schemas.openxmlformats.org/officeDocument/2006/relationships/image" Target="../media/image7.emf"/><Relationship Id="rId11" Type="http://schemas.openxmlformats.org/officeDocument/2006/relationships/image" Target="../media/image14.emf"/><Relationship Id="rId24" Type="http://schemas.openxmlformats.org/officeDocument/2006/relationships/image" Target="../media/image24.emf"/><Relationship Id="rId5" Type="http://schemas.openxmlformats.org/officeDocument/2006/relationships/image" Target="../media/image23.emf"/><Relationship Id="rId15" Type="http://schemas.openxmlformats.org/officeDocument/2006/relationships/image" Target="../media/image10.emf"/><Relationship Id="rId23" Type="http://schemas.openxmlformats.org/officeDocument/2006/relationships/image" Target="../media/image1.emf"/><Relationship Id="rId10" Type="http://schemas.openxmlformats.org/officeDocument/2006/relationships/image" Target="../media/image15.emf"/><Relationship Id="rId19" Type="http://schemas.openxmlformats.org/officeDocument/2006/relationships/image" Target="../media/image5.emf"/><Relationship Id="rId4" Type="http://schemas.openxmlformats.org/officeDocument/2006/relationships/image" Target="../media/image22.emf"/><Relationship Id="rId9" Type="http://schemas.openxmlformats.org/officeDocument/2006/relationships/image" Target="../media/image16.emf"/><Relationship Id="rId14" Type="http://schemas.openxmlformats.org/officeDocument/2006/relationships/image" Target="../media/image11.emf"/><Relationship Id="rId22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95251</xdr:colOff>
      <xdr:row>14</xdr:row>
      <xdr:rowOff>57150</xdr:rowOff>
    </xdr:from>
    <xdr:to>
      <xdr:col>43</xdr:col>
      <xdr:colOff>57151</xdr:colOff>
      <xdr:row>17</xdr:row>
      <xdr:rowOff>28575</xdr:rowOff>
    </xdr:to>
    <xdr:sp macro="" textlink="">
      <xdr:nvSpPr>
        <xdr:cNvPr id="2" name="Pfeil nach oben 1"/>
        <xdr:cNvSpPr/>
      </xdr:nvSpPr>
      <xdr:spPr>
        <a:xfrm>
          <a:off x="5514976" y="1657350"/>
          <a:ext cx="361950" cy="314325"/>
        </a:xfrm>
        <a:prstGeom prst="upArrow">
          <a:avLst>
            <a:gd name="adj1" fmla="val 75532"/>
            <a:gd name="adj2" fmla="val 53704"/>
          </a:avLst>
        </a:prstGeom>
        <a:solidFill>
          <a:schemeClr val="accent3">
            <a:lumMod val="60000"/>
            <a:lumOff val="40000"/>
          </a:schemeClr>
        </a:solidFill>
        <a:ln>
          <a:solidFill>
            <a:schemeClr val="accent3">
              <a:lumMod val="75000"/>
            </a:schemeClr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28</xdr:row>
          <xdr:rowOff>66675</xdr:rowOff>
        </xdr:from>
        <xdr:to>
          <xdr:col>35</xdr:col>
          <xdr:colOff>66675</xdr:colOff>
          <xdr:row>30</xdr:row>
          <xdr:rowOff>95250</xdr:rowOff>
        </xdr:to>
        <xdr:sp macro="" textlink="">
          <xdr:nvSpPr>
            <xdr:cNvPr id="1026" name="cmdImmobilie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42</xdr:row>
          <xdr:rowOff>28575</xdr:rowOff>
        </xdr:from>
        <xdr:to>
          <xdr:col>35</xdr:col>
          <xdr:colOff>66675</xdr:colOff>
          <xdr:row>44</xdr:row>
          <xdr:rowOff>66675</xdr:rowOff>
        </xdr:to>
        <xdr:sp macro="" textlink="">
          <xdr:nvSpPr>
            <xdr:cNvPr id="1027" name="cmdLoesche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31</xdr:row>
          <xdr:rowOff>28575</xdr:rowOff>
        </xdr:from>
        <xdr:to>
          <xdr:col>35</xdr:col>
          <xdr:colOff>66675</xdr:colOff>
          <xdr:row>33</xdr:row>
          <xdr:rowOff>57150</xdr:rowOff>
        </xdr:to>
        <xdr:sp macro="" textlink="">
          <xdr:nvSpPr>
            <xdr:cNvPr id="1028" name="cmdHypothek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42</xdr:col>
      <xdr:colOff>104775</xdr:colOff>
      <xdr:row>14</xdr:row>
      <xdr:rowOff>19050</xdr:rowOff>
    </xdr:from>
    <xdr:to>
      <xdr:col>46</xdr:col>
      <xdr:colOff>19050</xdr:colOff>
      <xdr:row>18</xdr:row>
      <xdr:rowOff>19050</xdr:rowOff>
    </xdr:to>
    <xdr:sp macro="" textlink="">
      <xdr:nvSpPr>
        <xdr:cNvPr id="3" name="Multiplizieren 2"/>
        <xdr:cNvSpPr/>
      </xdr:nvSpPr>
      <xdr:spPr>
        <a:xfrm>
          <a:off x="5791200" y="1619250"/>
          <a:ext cx="447675" cy="457200"/>
        </a:xfrm>
        <a:prstGeom prst="mathMultiply">
          <a:avLst/>
        </a:prstGeom>
        <a:solidFill>
          <a:srgbClr val="FF6969"/>
        </a:solidFill>
        <a:ln>
          <a:solidFill>
            <a:srgbClr val="FF0000"/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14</xdr:row>
          <xdr:rowOff>19050</xdr:rowOff>
        </xdr:from>
        <xdr:to>
          <xdr:col>46</xdr:col>
          <xdr:colOff>66675</xdr:colOff>
          <xdr:row>17</xdr:row>
          <xdr:rowOff>104775</xdr:rowOff>
        </xdr:to>
        <xdr:sp macro="" textlink="">
          <xdr:nvSpPr>
            <xdr:cNvPr id="1029" name="cmdWuerfeln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33</xdr:row>
          <xdr:rowOff>104775</xdr:rowOff>
        </xdr:from>
        <xdr:to>
          <xdr:col>35</xdr:col>
          <xdr:colOff>66675</xdr:colOff>
          <xdr:row>36</xdr:row>
          <xdr:rowOff>19050</xdr:rowOff>
        </xdr:to>
        <xdr:sp macro="" textlink="">
          <xdr:nvSpPr>
            <xdr:cNvPr id="1032" name="cmdTausch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57150</xdr:colOff>
          <xdr:row>27</xdr:row>
          <xdr:rowOff>38100</xdr:rowOff>
        </xdr:from>
        <xdr:to>
          <xdr:col>36</xdr:col>
          <xdr:colOff>38100</xdr:colOff>
          <xdr:row>45</xdr:row>
          <xdr:rowOff>28575</xdr:rowOff>
        </xdr:to>
        <xdr:sp macro="" textlink="">
          <xdr:nvSpPr>
            <xdr:cNvPr id="1034" name="Group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Sonstige Aktionen: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9525</xdr:colOff>
          <xdr:row>53</xdr:row>
          <xdr:rowOff>9525</xdr:rowOff>
        </xdr:from>
        <xdr:to>
          <xdr:col>48</xdr:col>
          <xdr:colOff>0</xdr:colOff>
          <xdr:row>55</xdr:row>
          <xdr:rowOff>0</xdr:rowOff>
        </xdr:to>
        <xdr:sp macro="" textlink="">
          <xdr:nvSpPr>
            <xdr:cNvPr id="1035" name="cmdMBahn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53</xdr:row>
          <xdr:rowOff>9525</xdr:rowOff>
        </xdr:from>
        <xdr:to>
          <xdr:col>58</xdr:col>
          <xdr:colOff>0</xdr:colOff>
          <xdr:row>55</xdr:row>
          <xdr:rowOff>0</xdr:rowOff>
        </xdr:to>
        <xdr:sp macro="" textlink="">
          <xdr:nvSpPr>
            <xdr:cNvPr id="1036" name="cmdTaipeh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9525</xdr:colOff>
          <xdr:row>53</xdr:row>
          <xdr:rowOff>9525</xdr:rowOff>
        </xdr:from>
        <xdr:to>
          <xdr:col>68</xdr:col>
          <xdr:colOff>0</xdr:colOff>
          <xdr:row>55</xdr:row>
          <xdr:rowOff>0</xdr:rowOff>
        </xdr:to>
        <xdr:sp macro="" textlink="">
          <xdr:nvSpPr>
            <xdr:cNvPr id="1037" name="cmdGdingen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53</xdr:row>
          <xdr:rowOff>9525</xdr:rowOff>
        </xdr:from>
        <xdr:to>
          <xdr:col>43</xdr:col>
          <xdr:colOff>0</xdr:colOff>
          <xdr:row>55</xdr:row>
          <xdr:rowOff>0</xdr:rowOff>
        </xdr:to>
        <xdr:sp macro="" textlink="">
          <xdr:nvSpPr>
            <xdr:cNvPr id="1038" name="cmdTokio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53</xdr:row>
          <xdr:rowOff>9525</xdr:rowOff>
        </xdr:from>
        <xdr:to>
          <xdr:col>28</xdr:col>
          <xdr:colOff>0</xdr:colOff>
          <xdr:row>55</xdr:row>
          <xdr:rowOff>0</xdr:rowOff>
        </xdr:to>
        <xdr:sp macro="" textlink="">
          <xdr:nvSpPr>
            <xdr:cNvPr id="1039" name="cmdAthen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53</xdr:row>
          <xdr:rowOff>9525</xdr:rowOff>
        </xdr:from>
        <xdr:to>
          <xdr:col>33</xdr:col>
          <xdr:colOff>0</xdr:colOff>
          <xdr:row>55</xdr:row>
          <xdr:rowOff>0</xdr:rowOff>
        </xdr:to>
        <xdr:sp macro="" textlink="">
          <xdr:nvSpPr>
            <xdr:cNvPr id="1040" name="cmdBarcelona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6</xdr:row>
          <xdr:rowOff>9525</xdr:rowOff>
        </xdr:from>
        <xdr:to>
          <xdr:col>28</xdr:col>
          <xdr:colOff>0</xdr:colOff>
          <xdr:row>8</xdr:row>
          <xdr:rowOff>0</xdr:rowOff>
        </xdr:to>
        <xdr:sp macro="" textlink="">
          <xdr:nvSpPr>
            <xdr:cNvPr id="1041" name="cmdSydney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6</xdr:row>
          <xdr:rowOff>9525</xdr:rowOff>
        </xdr:from>
        <xdr:to>
          <xdr:col>43</xdr:col>
          <xdr:colOff>0</xdr:colOff>
          <xdr:row>8</xdr:row>
          <xdr:rowOff>0</xdr:rowOff>
        </xdr:to>
        <xdr:sp macro="" textlink="">
          <xdr:nvSpPr>
            <xdr:cNvPr id="1042" name="cmdLondon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6</xdr:row>
          <xdr:rowOff>9525</xdr:rowOff>
        </xdr:from>
        <xdr:to>
          <xdr:col>38</xdr:col>
          <xdr:colOff>0</xdr:colOff>
          <xdr:row>8</xdr:row>
          <xdr:rowOff>0</xdr:rowOff>
        </xdr:to>
        <xdr:sp macro="" textlink="">
          <xdr:nvSpPr>
            <xdr:cNvPr id="1043" name="cmdNewYork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9525</xdr:colOff>
          <xdr:row>6</xdr:row>
          <xdr:rowOff>9525</xdr:rowOff>
        </xdr:from>
        <xdr:to>
          <xdr:col>68</xdr:col>
          <xdr:colOff>0</xdr:colOff>
          <xdr:row>8</xdr:row>
          <xdr:rowOff>0</xdr:rowOff>
        </xdr:to>
        <xdr:sp macro="" textlink="">
          <xdr:nvSpPr>
            <xdr:cNvPr id="1044" name="cmdJerusalem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</xdr:row>
          <xdr:rowOff>9525</xdr:rowOff>
        </xdr:from>
        <xdr:to>
          <xdr:col>58</xdr:col>
          <xdr:colOff>0</xdr:colOff>
          <xdr:row>8</xdr:row>
          <xdr:rowOff>0</xdr:rowOff>
        </xdr:to>
        <xdr:sp macro="" textlink="">
          <xdr:nvSpPr>
            <xdr:cNvPr id="1045" name="cmdHongKong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9525</xdr:colOff>
          <xdr:row>6</xdr:row>
          <xdr:rowOff>9525</xdr:rowOff>
        </xdr:from>
        <xdr:to>
          <xdr:col>53</xdr:col>
          <xdr:colOff>0</xdr:colOff>
          <xdr:row>8</xdr:row>
          <xdr:rowOff>0</xdr:rowOff>
        </xdr:to>
        <xdr:sp macro="" textlink="">
          <xdr:nvSpPr>
            <xdr:cNvPr id="1046" name="cmdPeking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9525</xdr:colOff>
          <xdr:row>6</xdr:row>
          <xdr:rowOff>9525</xdr:rowOff>
        </xdr:from>
        <xdr:to>
          <xdr:col>48</xdr:col>
          <xdr:colOff>0</xdr:colOff>
          <xdr:row>8</xdr:row>
          <xdr:rowOff>0</xdr:rowOff>
        </xdr:to>
        <xdr:sp macro="" textlink="">
          <xdr:nvSpPr>
            <xdr:cNvPr id="1047" name="cmdMSchiff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9525</xdr:colOff>
          <xdr:row>6</xdr:row>
          <xdr:rowOff>9525</xdr:rowOff>
        </xdr:from>
        <xdr:to>
          <xdr:col>63</xdr:col>
          <xdr:colOff>0</xdr:colOff>
          <xdr:row>8</xdr:row>
          <xdr:rowOff>0</xdr:rowOff>
        </xdr:to>
        <xdr:sp macro="" textlink="">
          <xdr:nvSpPr>
            <xdr:cNvPr id="1048" name="cmdWindkraft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43</xdr:row>
          <xdr:rowOff>9525</xdr:rowOff>
        </xdr:from>
        <xdr:to>
          <xdr:col>23</xdr:col>
          <xdr:colOff>0</xdr:colOff>
          <xdr:row>48</xdr:row>
          <xdr:rowOff>9525</xdr:rowOff>
        </xdr:to>
        <xdr:sp macro="" textlink="">
          <xdr:nvSpPr>
            <xdr:cNvPr id="1053" name="cmdSolarkraft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48</xdr:row>
          <xdr:rowOff>9525</xdr:rowOff>
        </xdr:from>
        <xdr:to>
          <xdr:col>23</xdr:col>
          <xdr:colOff>0</xdr:colOff>
          <xdr:row>53</xdr:row>
          <xdr:rowOff>9525</xdr:rowOff>
        </xdr:to>
        <xdr:sp macro="" textlink="">
          <xdr:nvSpPr>
            <xdr:cNvPr id="1054" name="cmdIstanbul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38</xdr:row>
          <xdr:rowOff>9525</xdr:rowOff>
        </xdr:from>
        <xdr:to>
          <xdr:col>23</xdr:col>
          <xdr:colOff>0</xdr:colOff>
          <xdr:row>43</xdr:row>
          <xdr:rowOff>9525</xdr:rowOff>
        </xdr:to>
        <xdr:sp macro="" textlink="">
          <xdr:nvSpPr>
            <xdr:cNvPr id="1055" name="cmdKiew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33</xdr:row>
          <xdr:rowOff>9525</xdr:rowOff>
        </xdr:from>
        <xdr:to>
          <xdr:col>23</xdr:col>
          <xdr:colOff>0</xdr:colOff>
          <xdr:row>38</xdr:row>
          <xdr:rowOff>9525</xdr:rowOff>
        </xdr:to>
        <xdr:sp macro="" textlink="">
          <xdr:nvSpPr>
            <xdr:cNvPr id="1056" name="cmdToronto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28</xdr:row>
          <xdr:rowOff>9525</xdr:rowOff>
        </xdr:from>
        <xdr:to>
          <xdr:col>23</xdr:col>
          <xdr:colOff>0</xdr:colOff>
          <xdr:row>33</xdr:row>
          <xdr:rowOff>9525</xdr:rowOff>
        </xdr:to>
        <xdr:sp macro="" textlink="">
          <xdr:nvSpPr>
            <xdr:cNvPr id="1057" name="cmdMFlug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8</xdr:row>
          <xdr:rowOff>9525</xdr:rowOff>
        </xdr:from>
        <xdr:to>
          <xdr:col>23</xdr:col>
          <xdr:colOff>0</xdr:colOff>
          <xdr:row>13</xdr:row>
          <xdr:rowOff>9525</xdr:rowOff>
        </xdr:to>
        <xdr:sp macro="" textlink="">
          <xdr:nvSpPr>
            <xdr:cNvPr id="1058" name="cmdVancouver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13</xdr:row>
          <xdr:rowOff>9525</xdr:rowOff>
        </xdr:from>
        <xdr:to>
          <xdr:col>23</xdr:col>
          <xdr:colOff>0</xdr:colOff>
          <xdr:row>18</xdr:row>
          <xdr:rowOff>9525</xdr:rowOff>
        </xdr:to>
        <xdr:sp macro="" textlink="">
          <xdr:nvSpPr>
            <xdr:cNvPr id="1059" name="cmdShanghai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23</xdr:row>
          <xdr:rowOff>9525</xdr:rowOff>
        </xdr:from>
        <xdr:to>
          <xdr:col>23</xdr:col>
          <xdr:colOff>0</xdr:colOff>
          <xdr:row>28</xdr:row>
          <xdr:rowOff>9525</xdr:rowOff>
        </xdr:to>
        <xdr:sp macro="" textlink="">
          <xdr:nvSpPr>
            <xdr:cNvPr id="1060" name="cmdRom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9525</xdr:colOff>
          <xdr:row>8</xdr:row>
          <xdr:rowOff>9525</xdr:rowOff>
        </xdr:from>
        <xdr:to>
          <xdr:col>70</xdr:col>
          <xdr:colOff>0</xdr:colOff>
          <xdr:row>13</xdr:row>
          <xdr:rowOff>9525</xdr:rowOff>
        </xdr:to>
        <xdr:sp macro="" textlink="">
          <xdr:nvSpPr>
            <xdr:cNvPr id="1061" name="cmdParis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9525</xdr:colOff>
          <xdr:row>13</xdr:row>
          <xdr:rowOff>9525</xdr:rowOff>
        </xdr:from>
        <xdr:to>
          <xdr:col>70</xdr:col>
          <xdr:colOff>0</xdr:colOff>
          <xdr:row>18</xdr:row>
          <xdr:rowOff>9525</xdr:rowOff>
        </xdr:to>
        <xdr:sp macro="" textlink="">
          <xdr:nvSpPr>
            <xdr:cNvPr id="1062" name="cmdBelgrad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9525</xdr:colOff>
          <xdr:row>23</xdr:row>
          <xdr:rowOff>9525</xdr:rowOff>
        </xdr:from>
        <xdr:to>
          <xdr:col>70</xdr:col>
          <xdr:colOff>0</xdr:colOff>
          <xdr:row>28</xdr:row>
          <xdr:rowOff>9525</xdr:rowOff>
        </xdr:to>
        <xdr:sp macro="" textlink="">
          <xdr:nvSpPr>
            <xdr:cNvPr id="1064" name="cmdKapstadt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9525</xdr:colOff>
          <xdr:row>38</xdr:row>
          <xdr:rowOff>9525</xdr:rowOff>
        </xdr:from>
        <xdr:to>
          <xdr:col>70</xdr:col>
          <xdr:colOff>0</xdr:colOff>
          <xdr:row>43</xdr:row>
          <xdr:rowOff>9525</xdr:rowOff>
        </xdr:to>
        <xdr:sp macro="" textlink="">
          <xdr:nvSpPr>
            <xdr:cNvPr id="1065" name="cmdRiga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9525</xdr:colOff>
          <xdr:row>28</xdr:row>
          <xdr:rowOff>9525</xdr:rowOff>
        </xdr:from>
        <xdr:to>
          <xdr:col>70</xdr:col>
          <xdr:colOff>0</xdr:colOff>
          <xdr:row>33</xdr:row>
          <xdr:rowOff>9525</xdr:rowOff>
        </xdr:to>
        <xdr:sp macro="" textlink="">
          <xdr:nvSpPr>
            <xdr:cNvPr id="1066" name="cmdMRaumf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9525</xdr:colOff>
          <xdr:row>48</xdr:row>
          <xdr:rowOff>9525</xdr:rowOff>
        </xdr:from>
        <xdr:to>
          <xdr:col>70</xdr:col>
          <xdr:colOff>0</xdr:colOff>
          <xdr:row>53</xdr:row>
          <xdr:rowOff>9525</xdr:rowOff>
        </xdr:to>
        <xdr:sp macro="" textlink="">
          <xdr:nvSpPr>
            <xdr:cNvPr id="1067" name="cmdMontreal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36</xdr:row>
          <xdr:rowOff>66675</xdr:rowOff>
        </xdr:from>
        <xdr:to>
          <xdr:col>35</xdr:col>
          <xdr:colOff>66675</xdr:colOff>
          <xdr:row>38</xdr:row>
          <xdr:rowOff>95250</xdr:rowOff>
        </xdr:to>
        <xdr:sp macro="" textlink="">
          <xdr:nvSpPr>
            <xdr:cNvPr id="1070" name="cmdVermoegen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39</xdr:row>
          <xdr:rowOff>47625</xdr:rowOff>
        </xdr:from>
        <xdr:to>
          <xdr:col>35</xdr:col>
          <xdr:colOff>66675</xdr:colOff>
          <xdr:row>41</xdr:row>
          <xdr:rowOff>76200</xdr:rowOff>
        </xdr:to>
        <xdr:sp macro="" textlink="">
          <xdr:nvSpPr>
            <xdr:cNvPr id="1071" name="cmdGrafik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50</xdr:col>
      <xdr:colOff>66261</xdr:colOff>
      <xdr:row>27</xdr:row>
      <xdr:rowOff>24848</xdr:rowOff>
    </xdr:from>
    <xdr:to>
      <xdr:col>67</xdr:col>
      <xdr:colOff>91109</xdr:colOff>
      <xdr:row>45</xdr:row>
      <xdr:rowOff>107674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51</xdr:col>
      <xdr:colOff>0</xdr:colOff>
      <xdr:row>34</xdr:row>
      <xdr:rowOff>82826</xdr:rowOff>
    </xdr:from>
    <xdr:to>
      <xdr:col>53</xdr:col>
      <xdr:colOff>66260</xdr:colOff>
      <xdr:row>36</xdr:row>
      <xdr:rowOff>57977</xdr:rowOff>
    </xdr:to>
    <xdr:sp macro="" textlink="">
      <xdr:nvSpPr>
        <xdr:cNvPr id="5" name="Textfeld 4"/>
        <xdr:cNvSpPr txBox="1"/>
      </xdr:nvSpPr>
      <xdr:spPr>
        <a:xfrm>
          <a:off x="6684065" y="3967369"/>
          <a:ext cx="331304" cy="2070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800" b="1"/>
            <a:t>10</a:t>
          </a:r>
        </a:p>
      </xdr:txBody>
    </xdr:sp>
    <xdr:clientData/>
  </xdr:twoCellAnchor>
  <xdr:twoCellAnchor>
    <xdr:from>
      <xdr:col>52</xdr:col>
      <xdr:colOff>3312</xdr:colOff>
      <xdr:row>32</xdr:row>
      <xdr:rowOff>53011</xdr:rowOff>
    </xdr:from>
    <xdr:to>
      <xdr:col>54</xdr:col>
      <xdr:colOff>69573</xdr:colOff>
      <xdr:row>34</xdr:row>
      <xdr:rowOff>28163</xdr:rowOff>
    </xdr:to>
    <xdr:sp macro="" textlink="">
      <xdr:nvSpPr>
        <xdr:cNvPr id="42" name="Textfeld 41"/>
        <xdr:cNvSpPr txBox="1"/>
      </xdr:nvSpPr>
      <xdr:spPr>
        <a:xfrm>
          <a:off x="6819899" y="3705641"/>
          <a:ext cx="331304" cy="2070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800" b="1"/>
            <a:t>20</a:t>
          </a:r>
        </a:p>
      </xdr:txBody>
    </xdr:sp>
    <xdr:clientData/>
  </xdr:twoCellAnchor>
  <xdr:twoCellAnchor>
    <xdr:from>
      <xdr:col>58</xdr:col>
      <xdr:colOff>8282</xdr:colOff>
      <xdr:row>28</xdr:row>
      <xdr:rowOff>107674</xdr:rowOff>
    </xdr:from>
    <xdr:to>
      <xdr:col>60</xdr:col>
      <xdr:colOff>74542</xdr:colOff>
      <xdr:row>30</xdr:row>
      <xdr:rowOff>82826</xdr:rowOff>
    </xdr:to>
    <xdr:sp macro="" textlink="">
      <xdr:nvSpPr>
        <xdr:cNvPr id="43" name="Textfeld 42"/>
        <xdr:cNvSpPr txBox="1"/>
      </xdr:nvSpPr>
      <xdr:spPr>
        <a:xfrm>
          <a:off x="7619999" y="3296478"/>
          <a:ext cx="331304" cy="2070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800" b="1"/>
            <a:t>50</a:t>
          </a:r>
        </a:p>
      </xdr:txBody>
    </xdr:sp>
    <xdr:clientData/>
  </xdr:twoCellAnchor>
  <xdr:twoCellAnchor>
    <xdr:from>
      <xdr:col>60</xdr:col>
      <xdr:colOff>41412</xdr:colOff>
      <xdr:row>29</xdr:row>
      <xdr:rowOff>33132</xdr:rowOff>
    </xdr:from>
    <xdr:to>
      <xdr:col>62</xdr:col>
      <xdr:colOff>107673</xdr:colOff>
      <xdr:row>31</xdr:row>
      <xdr:rowOff>8284</xdr:rowOff>
    </xdr:to>
    <xdr:sp macro="" textlink="">
      <xdr:nvSpPr>
        <xdr:cNvPr id="44" name="Textfeld 43"/>
        <xdr:cNvSpPr txBox="1"/>
      </xdr:nvSpPr>
      <xdr:spPr>
        <a:xfrm>
          <a:off x="7918173" y="3337893"/>
          <a:ext cx="331304" cy="2070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800" b="1"/>
            <a:t>60</a:t>
          </a:r>
        </a:p>
      </xdr:txBody>
    </xdr:sp>
    <xdr:clientData/>
  </xdr:twoCellAnchor>
  <xdr:twoCellAnchor>
    <xdr:from>
      <xdr:col>63</xdr:col>
      <xdr:colOff>124239</xdr:colOff>
      <xdr:row>32</xdr:row>
      <xdr:rowOff>16567</xdr:rowOff>
    </xdr:from>
    <xdr:to>
      <xdr:col>66</xdr:col>
      <xdr:colOff>57978</xdr:colOff>
      <xdr:row>33</xdr:row>
      <xdr:rowOff>107675</xdr:rowOff>
    </xdr:to>
    <xdr:sp macro="" textlink="">
      <xdr:nvSpPr>
        <xdr:cNvPr id="45" name="Textfeld 44"/>
        <xdr:cNvSpPr txBox="1"/>
      </xdr:nvSpPr>
      <xdr:spPr>
        <a:xfrm>
          <a:off x="8398565" y="3669197"/>
          <a:ext cx="331304" cy="2070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800" b="1"/>
            <a:t>80</a:t>
          </a:r>
        </a:p>
      </xdr:txBody>
    </xdr:sp>
    <xdr:clientData/>
  </xdr:twoCellAnchor>
  <xdr:twoCellAnchor>
    <xdr:from>
      <xdr:col>64</xdr:col>
      <xdr:colOff>115956</xdr:colOff>
      <xdr:row>34</xdr:row>
      <xdr:rowOff>66263</xdr:rowOff>
    </xdr:from>
    <xdr:to>
      <xdr:col>67</xdr:col>
      <xdr:colOff>49695</xdr:colOff>
      <xdr:row>36</xdr:row>
      <xdr:rowOff>41414</xdr:rowOff>
    </xdr:to>
    <xdr:sp macro="" textlink="">
      <xdr:nvSpPr>
        <xdr:cNvPr id="46" name="Textfeld 45"/>
        <xdr:cNvSpPr txBox="1"/>
      </xdr:nvSpPr>
      <xdr:spPr>
        <a:xfrm>
          <a:off x="8522804" y="3950806"/>
          <a:ext cx="331304" cy="2070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800" b="1"/>
            <a:t>90</a:t>
          </a:r>
        </a:p>
      </xdr:txBody>
    </xdr:sp>
    <xdr:clientData/>
  </xdr:twoCellAnchor>
  <xdr:twoCellAnchor>
    <xdr:from>
      <xdr:col>65</xdr:col>
      <xdr:colOff>16565</xdr:colOff>
      <xdr:row>36</xdr:row>
      <xdr:rowOff>107675</xdr:rowOff>
    </xdr:from>
    <xdr:to>
      <xdr:col>68</xdr:col>
      <xdr:colOff>24848</xdr:colOff>
      <xdr:row>38</xdr:row>
      <xdr:rowOff>82827</xdr:rowOff>
    </xdr:to>
    <xdr:sp macro="" textlink="">
      <xdr:nvSpPr>
        <xdr:cNvPr id="47" name="Textfeld 46"/>
        <xdr:cNvSpPr txBox="1"/>
      </xdr:nvSpPr>
      <xdr:spPr>
        <a:xfrm>
          <a:off x="8555935" y="4224132"/>
          <a:ext cx="405848" cy="2070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800" b="1"/>
            <a:t>100</a:t>
          </a:r>
        </a:p>
      </xdr:txBody>
    </xdr:sp>
    <xdr:clientData/>
  </xdr:twoCellAnchor>
  <xdr:twoCellAnchor>
    <xdr:from>
      <xdr:col>50</xdr:col>
      <xdr:colOff>127552</xdr:colOff>
      <xdr:row>37</xdr:row>
      <xdr:rowOff>3313</xdr:rowOff>
    </xdr:from>
    <xdr:to>
      <xdr:col>53</xdr:col>
      <xdr:colOff>61290</xdr:colOff>
      <xdr:row>38</xdr:row>
      <xdr:rowOff>94421</xdr:rowOff>
    </xdr:to>
    <xdr:sp macro="" textlink="">
      <xdr:nvSpPr>
        <xdr:cNvPr id="48" name="Textfeld 47"/>
        <xdr:cNvSpPr txBox="1"/>
      </xdr:nvSpPr>
      <xdr:spPr>
        <a:xfrm>
          <a:off x="6679095" y="4235726"/>
          <a:ext cx="331304" cy="2070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800" b="1"/>
            <a:t>0</a:t>
          </a: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0.17139</cdr:x>
      <cdr:y>0.1799</cdr:y>
    </cdr:from>
    <cdr:to>
      <cdr:x>0.31685</cdr:x>
      <cdr:y>0.27532</cdr:y>
    </cdr:to>
    <cdr:sp macro="" textlink="">
      <cdr:nvSpPr>
        <cdr:cNvPr id="2" name="Textfeld 4"/>
        <cdr:cNvSpPr txBox="1"/>
      </cdr:nvSpPr>
      <cdr:spPr>
        <a:xfrm xmlns:a="http://schemas.openxmlformats.org/drawingml/2006/main">
          <a:off x="390379" y="390385"/>
          <a:ext cx="331317" cy="20706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800" b="1"/>
            <a:t>30</a:t>
          </a:r>
        </a:p>
      </cdr:txBody>
    </cdr:sp>
  </cdr:relSizeAnchor>
  <cdr:relSizeAnchor xmlns:cdr="http://schemas.openxmlformats.org/drawingml/2006/chartDrawing">
    <cdr:from>
      <cdr:x>0.3023</cdr:x>
      <cdr:y>0.11119</cdr:y>
    </cdr:from>
    <cdr:to>
      <cdr:x>0.44775</cdr:x>
      <cdr:y>0.20661</cdr:y>
    </cdr:to>
    <cdr:sp macro="" textlink="">
      <cdr:nvSpPr>
        <cdr:cNvPr id="3" name="Textfeld 4"/>
        <cdr:cNvSpPr txBox="1"/>
      </cdr:nvSpPr>
      <cdr:spPr>
        <a:xfrm xmlns:a="http://schemas.openxmlformats.org/drawingml/2006/main">
          <a:off x="688564" y="241294"/>
          <a:ext cx="331294" cy="20706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800" b="1"/>
            <a:t>40</a:t>
          </a:r>
        </a:p>
      </cdr:txBody>
    </cdr:sp>
  </cdr:relSizeAnchor>
  <cdr:relSizeAnchor xmlns:cdr="http://schemas.openxmlformats.org/drawingml/2006/chartDrawing">
    <cdr:from>
      <cdr:x>0.69139</cdr:x>
      <cdr:y>0.17226</cdr:y>
    </cdr:from>
    <cdr:to>
      <cdr:x>0.83685</cdr:x>
      <cdr:y>0.26768</cdr:y>
    </cdr:to>
    <cdr:sp macro="" textlink="">
      <cdr:nvSpPr>
        <cdr:cNvPr id="4" name="Textfeld 4"/>
        <cdr:cNvSpPr txBox="1"/>
      </cdr:nvSpPr>
      <cdr:spPr>
        <a:xfrm xmlns:a="http://schemas.openxmlformats.org/drawingml/2006/main">
          <a:off x="1574796" y="373816"/>
          <a:ext cx="331317" cy="20706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800" b="1"/>
            <a:t>70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3349" cy="6014528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7.xml"/><Relationship Id="rId18" Type="http://schemas.openxmlformats.org/officeDocument/2006/relationships/control" Target="../activeX/activeX11.xml"/><Relationship Id="rId26" Type="http://schemas.openxmlformats.org/officeDocument/2006/relationships/image" Target="../media/image7.emf"/><Relationship Id="rId39" Type="http://schemas.openxmlformats.org/officeDocument/2006/relationships/control" Target="../activeX/activeX23.xml"/><Relationship Id="rId21" Type="http://schemas.openxmlformats.org/officeDocument/2006/relationships/control" Target="../activeX/activeX14.xml"/><Relationship Id="rId34" Type="http://schemas.openxmlformats.org/officeDocument/2006/relationships/image" Target="../media/image11.emf"/><Relationship Id="rId42" Type="http://schemas.openxmlformats.org/officeDocument/2006/relationships/image" Target="../media/image15.emf"/><Relationship Id="rId47" Type="http://schemas.openxmlformats.org/officeDocument/2006/relationships/control" Target="../activeX/activeX27.xml"/><Relationship Id="rId50" Type="http://schemas.openxmlformats.org/officeDocument/2006/relationships/control" Target="../activeX/activeX29.xml"/><Relationship Id="rId55" Type="http://schemas.openxmlformats.org/officeDocument/2006/relationships/image" Target="../media/image21.emf"/><Relationship Id="rId63" Type="http://schemas.openxmlformats.org/officeDocument/2006/relationships/image" Target="../media/image25.emf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3.xml"/><Relationship Id="rId29" Type="http://schemas.openxmlformats.org/officeDocument/2006/relationships/control" Target="../activeX/activeX18.xml"/><Relationship Id="rId41" Type="http://schemas.openxmlformats.org/officeDocument/2006/relationships/control" Target="../activeX/activeX24.xml"/><Relationship Id="rId54" Type="http://schemas.openxmlformats.org/officeDocument/2006/relationships/control" Target="../activeX/activeX31.xml"/><Relationship Id="rId62" Type="http://schemas.openxmlformats.org/officeDocument/2006/relationships/control" Target="../activeX/activeX3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6.emf"/><Relationship Id="rId32" Type="http://schemas.openxmlformats.org/officeDocument/2006/relationships/image" Target="../media/image10.emf"/><Relationship Id="rId37" Type="http://schemas.openxmlformats.org/officeDocument/2006/relationships/control" Target="../activeX/activeX22.xml"/><Relationship Id="rId40" Type="http://schemas.openxmlformats.org/officeDocument/2006/relationships/image" Target="../media/image14.emf"/><Relationship Id="rId45" Type="http://schemas.openxmlformats.org/officeDocument/2006/relationships/control" Target="../activeX/activeX26.xml"/><Relationship Id="rId53" Type="http://schemas.openxmlformats.org/officeDocument/2006/relationships/image" Target="../media/image20.emf"/><Relationship Id="rId58" Type="http://schemas.openxmlformats.org/officeDocument/2006/relationships/control" Target="../activeX/activeX33.xml"/><Relationship Id="rId5" Type="http://schemas.openxmlformats.org/officeDocument/2006/relationships/image" Target="../media/image1.emf"/><Relationship Id="rId15" Type="http://schemas.openxmlformats.org/officeDocument/2006/relationships/control" Target="../activeX/activeX8.xml"/><Relationship Id="rId23" Type="http://schemas.openxmlformats.org/officeDocument/2006/relationships/control" Target="../activeX/activeX15.xml"/><Relationship Id="rId28" Type="http://schemas.openxmlformats.org/officeDocument/2006/relationships/image" Target="../media/image8.emf"/><Relationship Id="rId36" Type="http://schemas.openxmlformats.org/officeDocument/2006/relationships/image" Target="../media/image12.emf"/><Relationship Id="rId49" Type="http://schemas.openxmlformats.org/officeDocument/2006/relationships/control" Target="../activeX/activeX28.xml"/><Relationship Id="rId57" Type="http://schemas.openxmlformats.org/officeDocument/2006/relationships/image" Target="../media/image22.emf"/><Relationship Id="rId61" Type="http://schemas.openxmlformats.org/officeDocument/2006/relationships/image" Target="../media/image24.emf"/><Relationship Id="rId10" Type="http://schemas.openxmlformats.org/officeDocument/2006/relationships/image" Target="../media/image3.emf"/><Relationship Id="rId19" Type="http://schemas.openxmlformats.org/officeDocument/2006/relationships/control" Target="../activeX/activeX12.xml"/><Relationship Id="rId31" Type="http://schemas.openxmlformats.org/officeDocument/2006/relationships/control" Target="../activeX/activeX19.xml"/><Relationship Id="rId44" Type="http://schemas.openxmlformats.org/officeDocument/2006/relationships/image" Target="../media/image16.emf"/><Relationship Id="rId52" Type="http://schemas.openxmlformats.org/officeDocument/2006/relationships/control" Target="../activeX/activeX30.xml"/><Relationship Id="rId60" Type="http://schemas.openxmlformats.org/officeDocument/2006/relationships/control" Target="../activeX/activeX3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4.emf"/><Relationship Id="rId22" Type="http://schemas.openxmlformats.org/officeDocument/2006/relationships/image" Target="../media/image5.emf"/><Relationship Id="rId27" Type="http://schemas.openxmlformats.org/officeDocument/2006/relationships/control" Target="../activeX/activeX17.xml"/><Relationship Id="rId30" Type="http://schemas.openxmlformats.org/officeDocument/2006/relationships/image" Target="../media/image9.emf"/><Relationship Id="rId35" Type="http://schemas.openxmlformats.org/officeDocument/2006/relationships/control" Target="../activeX/activeX21.xml"/><Relationship Id="rId43" Type="http://schemas.openxmlformats.org/officeDocument/2006/relationships/control" Target="../activeX/activeX25.xml"/><Relationship Id="rId48" Type="http://schemas.openxmlformats.org/officeDocument/2006/relationships/image" Target="../media/image18.emf"/><Relationship Id="rId56" Type="http://schemas.openxmlformats.org/officeDocument/2006/relationships/control" Target="../activeX/activeX32.xml"/><Relationship Id="rId64" Type="http://schemas.openxmlformats.org/officeDocument/2006/relationships/ctrlProp" Target="../ctrlProps/ctrlProp1.xml"/><Relationship Id="rId8" Type="http://schemas.openxmlformats.org/officeDocument/2006/relationships/control" Target="../activeX/activeX3.xml"/><Relationship Id="rId51" Type="http://schemas.openxmlformats.org/officeDocument/2006/relationships/image" Target="../media/image19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6.xml"/><Relationship Id="rId17" Type="http://schemas.openxmlformats.org/officeDocument/2006/relationships/control" Target="../activeX/activeX10.xml"/><Relationship Id="rId25" Type="http://schemas.openxmlformats.org/officeDocument/2006/relationships/control" Target="../activeX/activeX16.xml"/><Relationship Id="rId33" Type="http://schemas.openxmlformats.org/officeDocument/2006/relationships/control" Target="../activeX/activeX20.xml"/><Relationship Id="rId38" Type="http://schemas.openxmlformats.org/officeDocument/2006/relationships/image" Target="../media/image13.emf"/><Relationship Id="rId46" Type="http://schemas.openxmlformats.org/officeDocument/2006/relationships/image" Target="../media/image17.emf"/><Relationship Id="rId59" Type="http://schemas.openxmlformats.org/officeDocument/2006/relationships/image" Target="../media/image2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tabColor theme="5" tint="-0.249977111117893"/>
  </sheetPr>
  <dimension ref="A1:DY472"/>
  <sheetViews>
    <sheetView showGridLines="0" showRowColHeaders="0" tabSelected="1" zoomScale="115" zoomScaleNormal="115" workbookViewId="0">
      <selection activeCell="CR105" sqref="CR105"/>
    </sheetView>
  </sheetViews>
  <sheetFormatPr baseColWidth="10" defaultColWidth="2" defaultRowHeight="9" customHeight="1" x14ac:dyDescent="0.2"/>
  <cols>
    <col min="1" max="1" width="0.5703125" style="7" customWidth="1"/>
    <col min="2" max="15" width="2" style="1"/>
    <col min="16" max="16" width="2" style="26" customWidth="1"/>
    <col min="17" max="20" width="2" style="1"/>
    <col min="21" max="21" width="2.28515625" style="1" customWidth="1"/>
    <col min="22" max="22" width="2" style="1"/>
    <col min="23" max="23" width="2" style="1" customWidth="1"/>
    <col min="24" max="70" width="2" style="1"/>
    <col min="71" max="71" width="2.140625" style="1" customWidth="1"/>
    <col min="72" max="90" width="2" style="1"/>
    <col min="91" max="91" width="3" style="7" customWidth="1"/>
    <col min="92" max="95" width="2" style="1"/>
    <col min="96" max="96" width="3" style="1" bestFit="1" customWidth="1"/>
    <col min="97" max="97" width="26.7109375" style="1" bestFit="1" customWidth="1"/>
    <col min="98" max="98" width="15" style="1" bestFit="1" customWidth="1"/>
    <col min="99" max="104" width="9.28515625" style="1" customWidth="1"/>
    <col min="105" max="106" width="16.7109375" style="1" customWidth="1"/>
    <col min="107" max="107" width="16" style="1" customWidth="1"/>
    <col min="108" max="110" width="15.85546875" style="1" customWidth="1"/>
    <col min="111" max="112" width="12.28515625" style="1" customWidth="1"/>
    <col min="113" max="115" width="9.7109375" style="1" customWidth="1"/>
    <col min="116" max="116" width="7.7109375" style="1" customWidth="1"/>
    <col min="117" max="117" width="19.28515625" style="1" bestFit="1" customWidth="1"/>
    <col min="118" max="118" width="15.28515625" style="1" customWidth="1"/>
    <col min="119" max="155" width="7.7109375" style="1" customWidth="1"/>
    <col min="156" max="16384" width="2" style="1"/>
  </cols>
  <sheetData>
    <row r="1" spans="1:93" ht="4.5" customHeight="1" thickBot="1" x14ac:dyDescent="0.25"/>
    <row r="2" spans="1:93" ht="9" customHeight="1" thickBot="1" x14ac:dyDescent="0.25">
      <c r="B2" s="171" t="s">
        <v>59</v>
      </c>
      <c r="C2" s="172"/>
      <c r="D2" s="172"/>
      <c r="E2" s="172"/>
      <c r="F2" s="172"/>
      <c r="G2" s="172"/>
      <c r="H2" s="172"/>
      <c r="I2" s="173"/>
      <c r="J2" s="171" t="s">
        <v>61</v>
      </c>
      <c r="K2" s="172"/>
      <c r="L2" s="172"/>
      <c r="M2" s="172"/>
      <c r="N2" s="172"/>
      <c r="O2" s="173"/>
      <c r="P2" s="25">
        <v>1</v>
      </c>
      <c r="Q2" s="370" t="s">
        <v>101</v>
      </c>
      <c r="R2" s="371"/>
      <c r="S2" s="371"/>
      <c r="T2" s="371"/>
      <c r="U2" s="371"/>
      <c r="V2" s="371"/>
      <c r="W2" s="372"/>
      <c r="X2" s="380"/>
      <c r="Y2" s="381"/>
      <c r="Z2" s="381"/>
      <c r="AA2" s="381"/>
      <c r="AB2" s="382"/>
      <c r="AC2" s="218" t="s">
        <v>65</v>
      </c>
      <c r="AD2" s="219"/>
      <c r="AE2" s="219"/>
      <c r="AF2" s="219"/>
      <c r="AG2" s="220"/>
      <c r="AH2" s="359"/>
      <c r="AI2" s="170"/>
      <c r="AJ2" s="170"/>
      <c r="AK2" s="170"/>
      <c r="AL2" s="170"/>
      <c r="AM2" s="170"/>
      <c r="AN2" s="170"/>
      <c r="AO2" s="170"/>
      <c r="AP2" s="170"/>
      <c r="AQ2" s="170"/>
      <c r="AR2" s="170"/>
      <c r="AS2" s="170"/>
      <c r="AT2" s="170"/>
      <c r="AU2" s="170"/>
      <c r="AV2" s="170"/>
      <c r="AW2" s="170"/>
      <c r="AX2" s="170"/>
      <c r="AY2" s="170"/>
      <c r="AZ2" s="170"/>
      <c r="BA2" s="170"/>
      <c r="BB2" s="170"/>
      <c r="BC2" s="170"/>
      <c r="BD2" s="170"/>
      <c r="BE2" s="170"/>
      <c r="BF2" s="170"/>
      <c r="BG2" s="170"/>
      <c r="BH2" s="170"/>
      <c r="BI2" s="170"/>
      <c r="BJ2" s="170"/>
      <c r="BK2" s="170"/>
      <c r="BL2" s="170"/>
      <c r="BM2" s="170"/>
      <c r="BN2" s="170"/>
      <c r="BO2" s="170"/>
      <c r="BP2" s="262"/>
      <c r="BQ2" s="239" t="s">
        <v>36</v>
      </c>
      <c r="BR2" s="240"/>
      <c r="BS2" s="240"/>
      <c r="BT2" s="240"/>
      <c r="BU2" s="240"/>
      <c r="BV2" s="240"/>
      <c r="BW2" s="241"/>
      <c r="BX2" s="8">
        <v>1</v>
      </c>
      <c r="BY2" s="356" t="s">
        <v>60</v>
      </c>
      <c r="BZ2" s="356"/>
      <c r="CA2" s="356"/>
      <c r="CB2" s="356"/>
      <c r="CC2" s="356"/>
      <c r="CD2" s="356"/>
      <c r="CE2" s="356"/>
      <c r="CF2" s="356" t="s">
        <v>62</v>
      </c>
      <c r="CG2" s="356"/>
      <c r="CH2" s="356"/>
      <c r="CI2" s="356"/>
      <c r="CJ2" s="356"/>
      <c r="CK2" s="356"/>
      <c r="CL2" s="356"/>
      <c r="CM2" s="8"/>
    </row>
    <row r="3" spans="1:93" ht="9" customHeight="1" thickBot="1" x14ac:dyDescent="0.25">
      <c r="B3" s="174" t="s">
        <v>110</v>
      </c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6"/>
      <c r="Q3" s="373"/>
      <c r="R3" s="374"/>
      <c r="S3" s="374"/>
      <c r="T3" s="374"/>
      <c r="U3" s="374"/>
      <c r="V3" s="374"/>
      <c r="W3" s="375"/>
      <c r="X3" s="383"/>
      <c r="Y3" s="166"/>
      <c r="Z3" s="166"/>
      <c r="AA3" s="166"/>
      <c r="AB3" s="167"/>
      <c r="AC3" s="221"/>
      <c r="AD3" s="222"/>
      <c r="AE3" s="222"/>
      <c r="AF3" s="222"/>
      <c r="AG3" s="223"/>
      <c r="AH3" s="324"/>
      <c r="AI3" s="156"/>
      <c r="AJ3" s="156"/>
      <c r="AK3" s="156"/>
      <c r="AL3" s="156"/>
      <c r="AM3" s="156"/>
      <c r="AN3" s="156"/>
      <c r="AO3" s="156"/>
      <c r="AP3" s="156"/>
      <c r="AQ3" s="156"/>
      <c r="AR3" s="156"/>
      <c r="AS3" s="156"/>
      <c r="AT3" s="156"/>
      <c r="AU3" s="156"/>
      <c r="AV3" s="156"/>
      <c r="AW3" s="156"/>
      <c r="AX3" s="156"/>
      <c r="AY3" s="156"/>
      <c r="AZ3" s="156"/>
      <c r="BA3" s="156"/>
      <c r="BB3" s="156"/>
      <c r="BC3" s="156"/>
      <c r="BD3" s="156"/>
      <c r="BE3" s="156"/>
      <c r="BF3" s="156"/>
      <c r="BG3" s="156"/>
      <c r="BH3" s="156"/>
      <c r="BI3" s="156"/>
      <c r="BJ3" s="156"/>
      <c r="BK3" s="156"/>
      <c r="BL3" s="156"/>
      <c r="BM3" s="156"/>
      <c r="BN3" s="156"/>
      <c r="BO3" s="156"/>
      <c r="BP3" s="263"/>
      <c r="BQ3" s="242"/>
      <c r="BR3" s="243"/>
      <c r="BS3" s="243"/>
      <c r="BT3" s="243"/>
      <c r="BU3" s="243"/>
      <c r="BV3" s="243"/>
      <c r="BW3" s="244"/>
      <c r="BY3" s="357" t="s">
        <v>111</v>
      </c>
      <c r="BZ3" s="357"/>
      <c r="CA3" s="357"/>
      <c r="CB3" s="357"/>
      <c r="CC3" s="357"/>
      <c r="CD3" s="357"/>
      <c r="CE3" s="357"/>
      <c r="CF3" s="357"/>
      <c r="CG3" s="357"/>
      <c r="CH3" s="357"/>
      <c r="CI3" s="357"/>
      <c r="CJ3" s="357"/>
      <c r="CK3" s="357"/>
      <c r="CL3" s="357"/>
    </row>
    <row r="4" spans="1:93" ht="9" customHeight="1" thickBot="1" x14ac:dyDescent="0.25">
      <c r="B4" s="177"/>
      <c r="C4" s="178"/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O4" s="179"/>
      <c r="Q4" s="373"/>
      <c r="R4" s="374"/>
      <c r="S4" s="374"/>
      <c r="T4" s="374"/>
      <c r="U4" s="374"/>
      <c r="V4" s="374"/>
      <c r="W4" s="375"/>
      <c r="X4" s="383"/>
      <c r="Y4" s="166"/>
      <c r="Z4" s="166"/>
      <c r="AA4" s="166"/>
      <c r="AB4" s="167"/>
      <c r="AC4" s="221"/>
      <c r="AD4" s="222"/>
      <c r="AE4" s="222"/>
      <c r="AF4" s="222"/>
      <c r="AG4" s="223"/>
      <c r="AH4" s="324"/>
      <c r="AI4" s="156"/>
      <c r="AJ4" s="156"/>
      <c r="AK4" s="156"/>
      <c r="AL4" s="156"/>
      <c r="AM4" s="156"/>
      <c r="AN4" s="156"/>
      <c r="AO4" s="156"/>
      <c r="AP4" s="156"/>
      <c r="AQ4" s="156"/>
      <c r="AR4" s="156"/>
      <c r="AS4" s="156"/>
      <c r="AT4" s="156"/>
      <c r="AU4" s="156"/>
      <c r="AV4" s="156"/>
      <c r="AW4" s="156"/>
      <c r="AX4" s="156"/>
      <c r="AY4" s="156"/>
      <c r="AZ4" s="156"/>
      <c r="BA4" s="156"/>
      <c r="BB4" s="156"/>
      <c r="BC4" s="156"/>
      <c r="BD4" s="156"/>
      <c r="BE4" s="156"/>
      <c r="BF4" s="156"/>
      <c r="BG4" s="156"/>
      <c r="BH4" s="156"/>
      <c r="BI4" s="156"/>
      <c r="BJ4" s="156"/>
      <c r="BK4" s="156"/>
      <c r="BL4" s="156"/>
      <c r="BM4" s="156"/>
      <c r="BN4" s="156"/>
      <c r="BO4" s="156"/>
      <c r="BP4" s="263"/>
      <c r="BQ4" s="242"/>
      <c r="BR4" s="243"/>
      <c r="BS4" s="243"/>
      <c r="BT4" s="243"/>
      <c r="BU4" s="243"/>
      <c r="BV4" s="243"/>
      <c r="BW4" s="244"/>
      <c r="BY4" s="358"/>
      <c r="BZ4" s="358"/>
      <c r="CA4" s="358"/>
      <c r="CB4" s="358"/>
      <c r="CC4" s="358"/>
      <c r="CD4" s="358"/>
      <c r="CE4" s="358"/>
      <c r="CF4" s="358"/>
      <c r="CG4" s="358"/>
      <c r="CH4" s="358"/>
      <c r="CI4" s="358"/>
      <c r="CJ4" s="358"/>
      <c r="CK4" s="358"/>
      <c r="CL4" s="358"/>
    </row>
    <row r="5" spans="1:93" ht="9" customHeight="1" x14ac:dyDescent="0.2">
      <c r="A5" s="110">
        <v>2</v>
      </c>
      <c r="B5" s="362" t="str">
        <f>IF(VLOOKUP($A5,$CR$66:$DH$106,COLUMNS($CR$66:$DA$66),FALSE)=NameSpieler1,VLOOKUP($A5,$CR$66:$DH$106,COLUMNS($CR$67:$CS$67),FALSE),"")</f>
        <v/>
      </c>
      <c r="C5" s="363"/>
      <c r="D5" s="363"/>
      <c r="E5" s="363"/>
      <c r="F5" s="363"/>
      <c r="G5" s="363"/>
      <c r="H5" s="363"/>
      <c r="I5" s="438" t="s">
        <v>74</v>
      </c>
      <c r="J5" s="438"/>
      <c r="K5" s="438"/>
      <c r="L5" s="438"/>
      <c r="M5" s="438"/>
      <c r="N5" s="438"/>
      <c r="O5" s="439"/>
      <c r="P5" s="129" t="str">
        <f>IF(ISERROR(IF(VLOOKUP($B5,$CS$66:$DH$106,COLUMNS($CS$66:$DF$66),FALSE)="ja","!","")),"",IF(VLOOKUP($B5,$CS$66:$DH$106,COLUMNS($CS$66:$DF$66),FALSE)="ja","!",""))</f>
        <v/>
      </c>
      <c r="Q5" s="373"/>
      <c r="R5" s="374"/>
      <c r="S5" s="374"/>
      <c r="T5" s="374"/>
      <c r="U5" s="374"/>
      <c r="V5" s="374"/>
      <c r="W5" s="375"/>
      <c r="X5" s="383"/>
      <c r="Y5" s="166"/>
      <c r="Z5" s="166"/>
      <c r="AA5" s="166"/>
      <c r="AB5" s="167"/>
      <c r="AC5" s="221"/>
      <c r="AD5" s="222"/>
      <c r="AE5" s="222"/>
      <c r="AF5" s="222"/>
      <c r="AG5" s="223"/>
      <c r="AH5" s="324"/>
      <c r="AI5" s="156"/>
      <c r="AJ5" s="156"/>
      <c r="AK5" s="156"/>
      <c r="AL5" s="156"/>
      <c r="AM5" s="156"/>
      <c r="AN5" s="156"/>
      <c r="AO5" s="156"/>
      <c r="AP5" s="156"/>
      <c r="AQ5" s="156"/>
      <c r="AR5" s="156"/>
      <c r="AS5" s="156"/>
      <c r="AT5" s="156"/>
      <c r="AU5" s="156"/>
      <c r="AV5" s="156"/>
      <c r="AW5" s="156"/>
      <c r="AX5" s="156"/>
      <c r="AY5" s="156"/>
      <c r="AZ5" s="156"/>
      <c r="BA5" s="156"/>
      <c r="BB5" s="156"/>
      <c r="BC5" s="156"/>
      <c r="BD5" s="156"/>
      <c r="BE5" s="156"/>
      <c r="BF5" s="156"/>
      <c r="BG5" s="156"/>
      <c r="BH5" s="156"/>
      <c r="BI5" s="156"/>
      <c r="BJ5" s="156"/>
      <c r="BK5" s="156"/>
      <c r="BL5" s="156"/>
      <c r="BM5" s="156"/>
      <c r="BN5" s="156"/>
      <c r="BO5" s="156"/>
      <c r="BP5" s="263"/>
      <c r="BQ5" s="242"/>
      <c r="BR5" s="243"/>
      <c r="BS5" s="243"/>
      <c r="BT5" s="243"/>
      <c r="BU5" s="243"/>
      <c r="BV5" s="243"/>
      <c r="BW5" s="244"/>
      <c r="BX5" s="447" t="str">
        <f>IF(ISERROR(IF(VLOOKUP($CF5,$CS$66:$DH$106,COLUMNS($CS$66:$DF$66),FALSE)="ja","!","")),"",IF(VLOOKUP($CF5,$CS$66:$DH$106,COLUMNS($CS$66:$DF$66),FALSE)="ja","!",""))</f>
        <v/>
      </c>
      <c r="BY5" s="440" t="s">
        <v>74</v>
      </c>
      <c r="BZ5" s="441"/>
      <c r="CA5" s="441"/>
      <c r="CB5" s="441"/>
      <c r="CC5" s="441"/>
      <c r="CD5" s="441"/>
      <c r="CE5" s="441"/>
      <c r="CF5" s="366" t="str">
        <f>IF(VLOOKUP($CM5,$CR$66:$DH$106,COLUMNS($CR$66:$DA$66),FALSE)=NameSpieler2,VLOOKUP($CM5,$CR$66:$DH$106,COLUMNS($CR$67:$CS$67),FALSE),"")</f>
        <v/>
      </c>
      <c r="CG5" s="366"/>
      <c r="CH5" s="366"/>
      <c r="CI5" s="366"/>
      <c r="CJ5" s="366"/>
      <c r="CK5" s="366"/>
      <c r="CL5" s="367"/>
      <c r="CM5" s="110">
        <v>2</v>
      </c>
      <c r="CN5" s="6"/>
      <c r="CO5" s="6"/>
    </row>
    <row r="6" spans="1:93" ht="9" customHeight="1" x14ac:dyDescent="0.2">
      <c r="A6" s="110"/>
      <c r="B6" s="364"/>
      <c r="C6" s="365"/>
      <c r="D6" s="365"/>
      <c r="E6" s="365"/>
      <c r="F6" s="365"/>
      <c r="G6" s="365"/>
      <c r="H6" s="365"/>
      <c r="I6" s="115"/>
      <c r="J6" s="115"/>
      <c r="K6" s="115"/>
      <c r="L6" s="115"/>
      <c r="M6" s="115"/>
      <c r="N6" s="115"/>
      <c r="O6" s="116"/>
      <c r="P6" s="129"/>
      <c r="Q6" s="373"/>
      <c r="R6" s="374"/>
      <c r="S6" s="374"/>
      <c r="T6" s="374"/>
      <c r="U6" s="374"/>
      <c r="V6" s="374"/>
      <c r="W6" s="375"/>
      <c r="X6" s="159">
        <f>IF(VLOOKUP(X7,$CS$66:$DH$106,COLUMNS($CS$66:$DA$66),FALSE)=NameSpieler1,NameSpieler1,IF(VLOOKUP(X7,$CS$66:$DH$106,COLUMNS($CS$66:$DA$66),FALSE)=NameSpieler2,NameSpieler2,VLOOKUP(X7,$CS$66:$CT$106,2,FALSE)))</f>
        <v>2200</v>
      </c>
      <c r="Y6" s="160"/>
      <c r="Z6" s="160"/>
      <c r="AA6" s="160"/>
      <c r="AB6" s="165"/>
      <c r="AC6" s="221"/>
      <c r="AD6" s="222"/>
      <c r="AE6" s="222"/>
      <c r="AF6" s="222"/>
      <c r="AG6" s="223"/>
      <c r="AH6" s="282">
        <f>IF(VLOOKUP(AH7,$CS$66:$DH$106,COLUMNS($CS$66:$DA$66),FALSE)=NameSpieler1,NameSpieler1,IF(VLOOKUP(AH7,$CS$66:$DH$106,COLUMNS($CS$66:$DA$66),FALSE)=NameSpieler2,NameSpieler2,VLOOKUP(AH7,$CS$66:$CT$106,2,FALSE)))</f>
        <v>2200</v>
      </c>
      <c r="AI6" s="160"/>
      <c r="AJ6" s="160"/>
      <c r="AK6" s="160"/>
      <c r="AL6" s="160"/>
      <c r="AM6" s="160">
        <f>IF(VLOOKUP(AM7,$CS$66:$DH$106,COLUMNS($CS$66:$DA$66),FALSE)=NameSpieler1,NameSpieler1,IF(VLOOKUP(AM7,$CS$66:$DH$106,COLUMNS($CS$66:$DA$66),FALSE)=NameSpieler2,NameSpieler2,VLOOKUP(AM7,$CS$66:$CT$106,2,FALSE)))</f>
        <v>2400</v>
      </c>
      <c r="AN6" s="160"/>
      <c r="AO6" s="160"/>
      <c r="AP6" s="160"/>
      <c r="AQ6" s="160"/>
      <c r="AR6" s="160">
        <f>IF(VLOOKUP(AR7,$CS$66:$DH$106,COLUMNS($CS$66:$DA$66),FALSE)=NameSpieler1,NameSpieler1,IF(VLOOKUP(AR7,$CS$66:$DH$106,COLUMNS($CS$66:$DA$66),FALSE)=NameSpieler2,NameSpieler2,VLOOKUP(AR7,$CS$66:$CT$106,2,FALSE)))</f>
        <v>2000</v>
      </c>
      <c r="AS6" s="160"/>
      <c r="AT6" s="160"/>
      <c r="AU6" s="160"/>
      <c r="AV6" s="160"/>
      <c r="AW6" s="160">
        <f>IF(VLOOKUP(AW7,$CS$66:$DH$106,COLUMNS($CS$66:$DA$66),FALSE)=NameSpieler1,NameSpieler1,IF(VLOOKUP(AW7,$CS$66:$DH$106,COLUMNS($CS$66:$DA$66),FALSE)=NameSpieler2,NameSpieler2,VLOOKUP(AW7,$CS$66:$CT$106,2,FALSE)))</f>
        <v>2600</v>
      </c>
      <c r="AX6" s="160"/>
      <c r="AY6" s="160"/>
      <c r="AZ6" s="160"/>
      <c r="BA6" s="160"/>
      <c r="BB6" s="160">
        <f>IF(VLOOKUP(BB7,$CS$66:$DH$106,COLUMNS($CS$66:$DA$66),FALSE)=NameSpieler1,NameSpieler1,IF(VLOOKUP(BB7,$CS$66:$DH$106,COLUMNS($CS$66:$DA$66),FALSE)=NameSpieler2,NameSpieler2,VLOOKUP(BB7,$CS$66:$CT$106,2,FALSE)))</f>
        <v>2600</v>
      </c>
      <c r="BC6" s="160"/>
      <c r="BD6" s="160"/>
      <c r="BE6" s="160"/>
      <c r="BF6" s="160"/>
      <c r="BG6" s="160">
        <f>IF(VLOOKUP(BG7,$CS$66:$DH$106,COLUMNS($CS$66:$DA$66),FALSE)=NameSpieler1,NameSpieler1,IF(VLOOKUP(BG7,$CS$66:$DH$106,COLUMNS($CS$66:$DA$66),FALSE)=NameSpieler2,NameSpieler2,VLOOKUP(BG7,$CS$66:$CT$106,2,FALSE)))</f>
        <v>1500</v>
      </c>
      <c r="BH6" s="160"/>
      <c r="BI6" s="160"/>
      <c r="BJ6" s="160"/>
      <c r="BK6" s="160"/>
      <c r="BL6" s="160">
        <f>IF(VLOOKUP(BL7,$CS$66:$DH$106,COLUMNS($CS$66:$DA$66),FALSE)=NameSpieler1,NameSpieler1,IF(VLOOKUP(BL7,$CS$66:$DH$106,COLUMNS($CS$66:$DA$66),FALSE)=NameSpieler2,NameSpieler2,VLOOKUP(BL7,$CS$66:$CT$106,2,FALSE)))</f>
        <v>2800</v>
      </c>
      <c r="BM6" s="160"/>
      <c r="BN6" s="160"/>
      <c r="BO6" s="160"/>
      <c r="BP6" s="388"/>
      <c r="BQ6" s="242"/>
      <c r="BR6" s="243"/>
      <c r="BS6" s="243"/>
      <c r="BT6" s="243"/>
      <c r="BU6" s="243"/>
      <c r="BV6" s="243"/>
      <c r="BW6" s="244"/>
      <c r="BX6" s="447"/>
      <c r="BY6" s="442"/>
      <c r="BZ6" s="443"/>
      <c r="CA6" s="443"/>
      <c r="CB6" s="443"/>
      <c r="CC6" s="443"/>
      <c r="CD6" s="443"/>
      <c r="CE6" s="443"/>
      <c r="CF6" s="368"/>
      <c r="CG6" s="368"/>
      <c r="CH6" s="368"/>
      <c r="CI6" s="368"/>
      <c r="CJ6" s="368"/>
      <c r="CK6" s="368"/>
      <c r="CL6" s="369"/>
      <c r="CM6" s="110"/>
      <c r="CN6" s="6"/>
      <c r="CO6" s="6"/>
    </row>
    <row r="7" spans="1:93" ht="9" customHeight="1" x14ac:dyDescent="0.2">
      <c r="A7" s="110">
        <v>4</v>
      </c>
      <c r="B7" s="364" t="str">
        <f>IF(VLOOKUP($A7,$CR$66:$DH$106,COLUMNS($CR$66:$DA$66),FALSE)=NameSpieler1,VLOOKUP($A7,$CR$66:$DH$106,COLUMNS($CR$67:$CS$67),FALSE),"")</f>
        <v/>
      </c>
      <c r="C7" s="365"/>
      <c r="D7" s="365"/>
      <c r="E7" s="365"/>
      <c r="F7" s="365"/>
      <c r="G7" s="365"/>
      <c r="H7" s="365"/>
      <c r="I7" s="115">
        <v>3</v>
      </c>
      <c r="J7" s="115"/>
      <c r="K7" s="115"/>
      <c r="L7" s="115"/>
      <c r="M7" s="115"/>
      <c r="N7" s="115"/>
      <c r="O7" s="116"/>
      <c r="P7" s="129" t="str">
        <f t="shared" ref="P7" si="0">IF(ISERROR(IF(VLOOKUP($B7,$CS$66:$DH$106,COLUMNS($CS$66:$DF$66),FALSE)="ja","!","")),"",IF(VLOOKUP($B7,$CS$66:$DH$106,COLUMNS($CS$66:$DF$66),FALSE)="ja","!",""))</f>
        <v/>
      </c>
      <c r="Q7" s="373"/>
      <c r="R7" s="374"/>
      <c r="S7" s="374"/>
      <c r="T7" s="374"/>
      <c r="U7" s="374"/>
      <c r="V7" s="374"/>
      <c r="W7" s="375"/>
      <c r="X7" s="384" t="s">
        <v>14</v>
      </c>
      <c r="Y7" s="272"/>
      <c r="Z7" s="272"/>
      <c r="AA7" s="272"/>
      <c r="AB7" s="385"/>
      <c r="AC7" s="221"/>
      <c r="AD7" s="222"/>
      <c r="AE7" s="222"/>
      <c r="AF7" s="222"/>
      <c r="AG7" s="223"/>
      <c r="AH7" s="360" t="s">
        <v>15</v>
      </c>
      <c r="AI7" s="272"/>
      <c r="AJ7" s="272"/>
      <c r="AK7" s="272"/>
      <c r="AL7" s="272"/>
      <c r="AM7" s="272" t="s">
        <v>16</v>
      </c>
      <c r="AN7" s="272"/>
      <c r="AO7" s="272"/>
      <c r="AP7" s="272"/>
      <c r="AQ7" s="272"/>
      <c r="AR7" s="328" t="s">
        <v>17</v>
      </c>
      <c r="AS7" s="328"/>
      <c r="AT7" s="328"/>
      <c r="AU7" s="328"/>
      <c r="AV7" s="328"/>
      <c r="AW7" s="180" t="s">
        <v>18</v>
      </c>
      <c r="AX7" s="180"/>
      <c r="AY7" s="180"/>
      <c r="AZ7" s="180"/>
      <c r="BA7" s="180"/>
      <c r="BB7" s="180" t="s">
        <v>19</v>
      </c>
      <c r="BC7" s="180"/>
      <c r="BD7" s="180"/>
      <c r="BE7" s="180"/>
      <c r="BF7" s="180"/>
      <c r="BG7" s="257" t="s">
        <v>28</v>
      </c>
      <c r="BH7" s="257"/>
      <c r="BI7" s="257"/>
      <c r="BJ7" s="257"/>
      <c r="BK7" s="257"/>
      <c r="BL7" s="180" t="s">
        <v>20</v>
      </c>
      <c r="BM7" s="180"/>
      <c r="BN7" s="180"/>
      <c r="BO7" s="180"/>
      <c r="BP7" s="389"/>
      <c r="BQ7" s="242"/>
      <c r="BR7" s="243"/>
      <c r="BS7" s="243"/>
      <c r="BT7" s="243"/>
      <c r="BU7" s="243"/>
      <c r="BV7" s="243"/>
      <c r="BW7" s="244"/>
      <c r="BX7" s="447" t="str">
        <f t="shared" ref="BX7" si="1">IF(ISERROR(IF(VLOOKUP($CF7,$CS$66:$DH$106,COLUMNS($CS$66:$DF$66),FALSE)="ja","!","")),"",IF(VLOOKUP($CF7,$CS$66:$DH$106,COLUMNS($CS$66:$DF$66),FALSE)="ja","!",""))</f>
        <v/>
      </c>
      <c r="BY7" s="113">
        <v>0</v>
      </c>
      <c r="BZ7" s="114"/>
      <c r="CA7" s="114"/>
      <c r="CB7" s="114"/>
      <c r="CC7" s="114"/>
      <c r="CD7" s="114"/>
      <c r="CE7" s="114"/>
      <c r="CF7" s="368" t="str">
        <f>IF(VLOOKUP($CM7,$CR$66:$DH$106,COLUMNS($CR$66:$DA$66),FALSE)=NameSpieler2,VLOOKUP($CM7,$CR$66:$DH$106,COLUMNS($CR$67:$CS$67),FALSE),"")</f>
        <v/>
      </c>
      <c r="CG7" s="368"/>
      <c r="CH7" s="368"/>
      <c r="CI7" s="368"/>
      <c r="CJ7" s="368"/>
      <c r="CK7" s="368"/>
      <c r="CL7" s="369"/>
      <c r="CM7" s="110">
        <v>4</v>
      </c>
      <c r="CN7" s="6"/>
      <c r="CO7" s="6"/>
    </row>
    <row r="8" spans="1:93" ht="9" customHeight="1" thickBot="1" x14ac:dyDescent="0.25">
      <c r="A8" s="110"/>
      <c r="B8" s="364"/>
      <c r="C8" s="365"/>
      <c r="D8" s="365"/>
      <c r="E8" s="365"/>
      <c r="F8" s="365"/>
      <c r="G8" s="365"/>
      <c r="H8" s="365"/>
      <c r="I8" s="115"/>
      <c r="J8" s="115"/>
      <c r="K8" s="115"/>
      <c r="L8" s="115"/>
      <c r="M8" s="115"/>
      <c r="N8" s="115"/>
      <c r="O8" s="116"/>
      <c r="P8" s="129"/>
      <c r="Q8" s="376"/>
      <c r="R8" s="377"/>
      <c r="S8" s="377"/>
      <c r="T8" s="377"/>
      <c r="U8" s="377"/>
      <c r="V8" s="377"/>
      <c r="W8" s="378"/>
      <c r="X8" s="386"/>
      <c r="Y8" s="273"/>
      <c r="Z8" s="273"/>
      <c r="AA8" s="273"/>
      <c r="AB8" s="387"/>
      <c r="AC8" s="224"/>
      <c r="AD8" s="225"/>
      <c r="AE8" s="225"/>
      <c r="AF8" s="225"/>
      <c r="AG8" s="226"/>
      <c r="AH8" s="361"/>
      <c r="AI8" s="273"/>
      <c r="AJ8" s="273"/>
      <c r="AK8" s="273"/>
      <c r="AL8" s="273"/>
      <c r="AM8" s="273"/>
      <c r="AN8" s="273"/>
      <c r="AO8" s="273"/>
      <c r="AP8" s="273"/>
      <c r="AQ8" s="273"/>
      <c r="AR8" s="379"/>
      <c r="AS8" s="379"/>
      <c r="AT8" s="379"/>
      <c r="AU8" s="379"/>
      <c r="AV8" s="379"/>
      <c r="AW8" s="181"/>
      <c r="AX8" s="181"/>
      <c r="AY8" s="181"/>
      <c r="AZ8" s="181"/>
      <c r="BA8" s="181"/>
      <c r="BB8" s="181"/>
      <c r="BC8" s="181"/>
      <c r="BD8" s="181"/>
      <c r="BE8" s="181"/>
      <c r="BF8" s="181"/>
      <c r="BG8" s="258"/>
      <c r="BH8" s="258"/>
      <c r="BI8" s="258"/>
      <c r="BJ8" s="258"/>
      <c r="BK8" s="258"/>
      <c r="BL8" s="181"/>
      <c r="BM8" s="181"/>
      <c r="BN8" s="181"/>
      <c r="BO8" s="181"/>
      <c r="BP8" s="390"/>
      <c r="BQ8" s="245"/>
      <c r="BR8" s="246"/>
      <c r="BS8" s="246"/>
      <c r="BT8" s="246"/>
      <c r="BU8" s="246"/>
      <c r="BV8" s="246"/>
      <c r="BW8" s="247"/>
      <c r="BX8" s="447"/>
      <c r="BY8" s="113"/>
      <c r="BZ8" s="114"/>
      <c r="CA8" s="114"/>
      <c r="CB8" s="114"/>
      <c r="CC8" s="114"/>
      <c r="CD8" s="114"/>
      <c r="CE8" s="114"/>
      <c r="CF8" s="368"/>
      <c r="CG8" s="368"/>
      <c r="CH8" s="368"/>
      <c r="CI8" s="368"/>
      <c r="CJ8" s="368"/>
      <c r="CK8" s="368"/>
      <c r="CL8" s="369"/>
      <c r="CM8" s="110"/>
      <c r="CN8" s="6"/>
      <c r="CO8" s="6"/>
    </row>
    <row r="9" spans="1:93" ht="9" customHeight="1" x14ac:dyDescent="0.2">
      <c r="A9" s="110">
        <v>7</v>
      </c>
      <c r="B9" s="444" t="str">
        <f>IF(VLOOKUP($A9,$CR$66:$DH$106,COLUMNS($CR$66:$DA$66),FALSE)=NameSpieler1,VLOOKUP($A9,$CR$66:$DH$106,COLUMNS($CR$67:$CS$67),FALSE),"")</f>
        <v/>
      </c>
      <c r="C9" s="445"/>
      <c r="D9" s="445"/>
      <c r="E9" s="445"/>
      <c r="F9" s="445"/>
      <c r="G9" s="445"/>
      <c r="H9" s="445"/>
      <c r="I9" s="115" t="s">
        <v>74</v>
      </c>
      <c r="J9" s="115"/>
      <c r="K9" s="115"/>
      <c r="L9" s="115"/>
      <c r="M9" s="115"/>
      <c r="N9" s="115"/>
      <c r="O9" s="116"/>
      <c r="P9" s="129" t="str">
        <f t="shared" ref="P9" si="2">IF(ISERROR(IF(VLOOKUP($B9,$CS$66:$DH$106,COLUMNS($CS$66:$DF$66),FALSE)="ja","!","")),"",IF(VLOOKUP($B9,$CS$66:$DH$106,COLUMNS($CS$66:$DF$66),FALSE)="ja","!",""))</f>
        <v/>
      </c>
      <c r="Q9" s="210"/>
      <c r="R9" s="211"/>
      <c r="S9" s="211"/>
      <c r="T9" s="211"/>
      <c r="U9" s="214">
        <f>IF(VLOOKUP(V9,$CS$66:$DH$106,COLUMNS($CS$66:$DA$66),FALSE)=NameSpieler1,NameSpieler1,IF(VLOOKUP(V9,$CS$66:$DH$106,COLUMNS($CS$66:$DA$66),FALSE)=NameSpieler2,NameSpieler2,VLOOKUP($V9,$CS$66:$CT$106,2,FALSE)))</f>
        <v>2000</v>
      </c>
      <c r="V9" s="216" t="s">
        <v>13</v>
      </c>
      <c r="W9" s="217"/>
      <c r="X9" s="16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8"/>
      <c r="BQ9" s="253" t="s">
        <v>21</v>
      </c>
      <c r="BR9" s="254"/>
      <c r="BS9" s="252">
        <f>IF(VLOOKUP(BQ9,$CS$66:$DH$106,COLUMNS($CS$66:$DA$66),FALSE)=NameSpieler1,NameSpieler1,IF(VLOOKUP(BQ9,$CS$66:$DH$106,COLUMNS($CS$66:$DA$66),FALSE)=NameSpieler2,NameSpieler2,VLOOKUP(BQ9,$CS$66:$CT$106,2,FALSE)))</f>
        <v>3000</v>
      </c>
      <c r="BT9" s="248"/>
      <c r="BU9" s="249"/>
      <c r="BV9" s="249"/>
      <c r="BW9" s="250"/>
      <c r="BX9" s="447" t="str">
        <f t="shared" ref="BX9" si="3">IF(ISERROR(IF(VLOOKUP($CF9,$CS$66:$DH$106,COLUMNS($CS$66:$DF$66),FALSE)="ja","!","")),"",IF(VLOOKUP($CF9,$CS$66:$DH$106,COLUMNS($CS$66:$DF$66),FALSE)="ja","!",""))</f>
        <v/>
      </c>
      <c r="BY9" s="113" t="s">
        <v>74</v>
      </c>
      <c r="BZ9" s="114"/>
      <c r="CA9" s="114"/>
      <c r="CB9" s="114"/>
      <c r="CC9" s="114"/>
      <c r="CD9" s="114"/>
      <c r="CE9" s="114"/>
      <c r="CF9" s="117" t="str">
        <f>IF(VLOOKUP($CM9,$CR$66:$DH$106,COLUMNS($CR$66:$DA$66),FALSE)=NameSpieler2,VLOOKUP($CM9,$CR$66:$DH$106,COLUMNS($CR$67:$CS$67),FALSE),"")</f>
        <v/>
      </c>
      <c r="CG9" s="117"/>
      <c r="CH9" s="117"/>
      <c r="CI9" s="117"/>
      <c r="CJ9" s="117"/>
      <c r="CK9" s="117"/>
      <c r="CL9" s="118"/>
      <c r="CM9" s="110">
        <v>7</v>
      </c>
      <c r="CN9" s="6"/>
      <c r="CO9" s="6"/>
    </row>
    <row r="10" spans="1:93" ht="9" customHeight="1" x14ac:dyDescent="0.2">
      <c r="A10" s="110"/>
      <c r="B10" s="444"/>
      <c r="C10" s="445"/>
      <c r="D10" s="445"/>
      <c r="E10" s="445"/>
      <c r="F10" s="445"/>
      <c r="G10" s="445"/>
      <c r="H10" s="445"/>
      <c r="I10" s="115"/>
      <c r="J10" s="115"/>
      <c r="K10" s="115"/>
      <c r="L10" s="115"/>
      <c r="M10" s="115"/>
      <c r="N10" s="115"/>
      <c r="O10" s="116"/>
      <c r="P10" s="129"/>
      <c r="Q10" s="212"/>
      <c r="R10" s="213"/>
      <c r="S10" s="213"/>
      <c r="T10" s="213"/>
      <c r="U10" s="196"/>
      <c r="V10" s="197"/>
      <c r="W10" s="198"/>
      <c r="X10" s="19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  <c r="BM10" s="20"/>
      <c r="BN10" s="20"/>
      <c r="BO10" s="20"/>
      <c r="BP10" s="21"/>
      <c r="BQ10" s="255"/>
      <c r="BR10" s="256"/>
      <c r="BS10" s="231"/>
      <c r="BT10" s="166"/>
      <c r="BU10" s="166"/>
      <c r="BV10" s="166"/>
      <c r="BW10" s="251"/>
      <c r="BX10" s="447"/>
      <c r="BY10" s="113"/>
      <c r="BZ10" s="114"/>
      <c r="CA10" s="114"/>
      <c r="CB10" s="114"/>
      <c r="CC10" s="114"/>
      <c r="CD10" s="114"/>
      <c r="CE10" s="114"/>
      <c r="CF10" s="117"/>
      <c r="CG10" s="117"/>
      <c r="CH10" s="117"/>
      <c r="CI10" s="117"/>
      <c r="CJ10" s="117"/>
      <c r="CK10" s="117"/>
      <c r="CL10" s="118"/>
      <c r="CM10" s="110"/>
      <c r="CN10" s="6"/>
      <c r="CO10" s="6"/>
    </row>
    <row r="11" spans="1:93" ht="9" customHeight="1" thickBot="1" x14ac:dyDescent="0.25">
      <c r="A11" s="110">
        <v>9</v>
      </c>
      <c r="B11" s="444" t="str">
        <f>IF(VLOOKUP($A11,$CR$66:$DH$106,COLUMNS($CR$66:$DA$66),FALSE)=NameSpieler1,VLOOKUP($A11,$CR$66:$DH$106,COLUMNS($CR$67:$CS$67),FALSE),"")</f>
        <v/>
      </c>
      <c r="C11" s="445"/>
      <c r="D11" s="445"/>
      <c r="E11" s="445"/>
      <c r="F11" s="445"/>
      <c r="G11" s="445"/>
      <c r="H11" s="445"/>
      <c r="I11" s="12"/>
      <c r="J11" s="12"/>
      <c r="K11" s="12"/>
      <c r="L11" s="12"/>
      <c r="M11" s="13"/>
      <c r="N11" s="13"/>
      <c r="O11" s="14"/>
      <c r="P11" s="129" t="str">
        <f t="shared" ref="P11" si="4">IF(ISERROR(IF(VLOOKUP($B11,$CS$66:$DH$106,COLUMNS($CS$66:$DF$66),FALSE)="ja","!","")),"",IF(VLOOKUP($B11,$CS$66:$DH$106,COLUMNS($CS$66:$DF$66),FALSE)="ja","!",""))</f>
        <v/>
      </c>
      <c r="Q11" s="212"/>
      <c r="R11" s="213"/>
      <c r="S11" s="213"/>
      <c r="T11" s="213"/>
      <c r="U11" s="196"/>
      <c r="V11" s="197"/>
      <c r="W11" s="198"/>
      <c r="X11" s="19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1"/>
      <c r="BQ11" s="255"/>
      <c r="BR11" s="256"/>
      <c r="BS11" s="231"/>
      <c r="BT11" s="166"/>
      <c r="BU11" s="166"/>
      <c r="BV11" s="166"/>
      <c r="BW11" s="251"/>
      <c r="BX11" s="447" t="str">
        <f t="shared" ref="BX11" si="5">IF(ISERROR(IF(VLOOKUP($CF11,$CS$66:$DH$106,COLUMNS($CS$66:$DF$66),FALSE)="ja","!","")),"",IF(VLOOKUP($CF11,$CS$66:$DH$106,COLUMNS($CS$66:$DF$66),FALSE)="ja","!",""))</f>
        <v/>
      </c>
      <c r="BY11" s="10"/>
      <c r="BZ11" s="11"/>
      <c r="CA11" s="11"/>
      <c r="CB11" s="9"/>
      <c r="CC11" s="9"/>
      <c r="CD11" s="9"/>
      <c r="CE11" s="9"/>
      <c r="CF11" s="117" t="str">
        <f>IF(VLOOKUP($CM11,$CR$66:$DH$106,COLUMNS($CR$66:$DA$66),FALSE)=NameSpieler2,VLOOKUP($CM11,$CR$66:$DH$106,COLUMNS($CR$67:$CS$67),FALSE),"")</f>
        <v/>
      </c>
      <c r="CG11" s="117"/>
      <c r="CH11" s="117"/>
      <c r="CI11" s="117"/>
      <c r="CJ11" s="117"/>
      <c r="CK11" s="117"/>
      <c r="CL11" s="118"/>
      <c r="CM11" s="110">
        <v>9</v>
      </c>
      <c r="CN11" s="6"/>
      <c r="CO11" s="6"/>
    </row>
    <row r="12" spans="1:93" ht="9" customHeight="1" x14ac:dyDescent="0.2">
      <c r="A12" s="110"/>
      <c r="B12" s="444"/>
      <c r="C12" s="445"/>
      <c r="D12" s="445"/>
      <c r="E12" s="445"/>
      <c r="F12" s="445"/>
      <c r="G12" s="445"/>
      <c r="H12" s="445"/>
      <c r="I12" s="12"/>
      <c r="J12" s="12"/>
      <c r="K12" s="12"/>
      <c r="L12" s="12"/>
      <c r="M12" s="13"/>
      <c r="N12" s="13"/>
      <c r="O12" s="14"/>
      <c r="P12" s="129"/>
      <c r="Q12" s="212"/>
      <c r="R12" s="213"/>
      <c r="S12" s="213"/>
      <c r="T12" s="213"/>
      <c r="U12" s="196"/>
      <c r="V12" s="197"/>
      <c r="W12" s="198"/>
      <c r="X12" s="19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188"/>
      <c r="AK12" s="188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130" t="s">
        <v>88</v>
      </c>
      <c r="BH12" s="131"/>
      <c r="BI12" s="131"/>
      <c r="BJ12" s="131"/>
      <c r="BK12" s="131"/>
      <c r="BL12" s="131"/>
      <c r="BM12" s="132"/>
      <c r="BN12" s="20"/>
      <c r="BO12" s="20"/>
      <c r="BP12" s="21"/>
      <c r="BQ12" s="255"/>
      <c r="BR12" s="256"/>
      <c r="BS12" s="231"/>
      <c r="BT12" s="166"/>
      <c r="BU12" s="166"/>
      <c r="BV12" s="166"/>
      <c r="BW12" s="251"/>
      <c r="BX12" s="447"/>
      <c r="BY12" s="10"/>
      <c r="BZ12" s="11"/>
      <c r="CA12" s="11"/>
      <c r="CB12" s="9"/>
      <c r="CC12" s="9"/>
      <c r="CD12" s="9"/>
      <c r="CE12" s="9"/>
      <c r="CF12" s="117"/>
      <c r="CG12" s="117"/>
      <c r="CH12" s="117"/>
      <c r="CI12" s="117"/>
      <c r="CJ12" s="117"/>
      <c r="CK12" s="117"/>
      <c r="CL12" s="118"/>
      <c r="CM12" s="110"/>
      <c r="CN12" s="6"/>
      <c r="CO12" s="6"/>
    </row>
    <row r="13" spans="1:93" ht="9" customHeight="1" thickBot="1" x14ac:dyDescent="0.25">
      <c r="A13" s="110">
        <v>10</v>
      </c>
      <c r="B13" s="444" t="str">
        <f>IF(VLOOKUP($A13,$CR$66:$DH$106,COLUMNS($CR$66:$DA$66),FALSE)=NameSpieler1,VLOOKUP($A13,$CR$66:$DH$106,COLUMNS($CR$67:$CS$67),FALSE),"")</f>
        <v/>
      </c>
      <c r="C13" s="445"/>
      <c r="D13" s="445"/>
      <c r="E13" s="445"/>
      <c r="F13" s="445"/>
      <c r="G13" s="445"/>
      <c r="H13" s="445"/>
      <c r="I13" s="12"/>
      <c r="J13" s="12"/>
      <c r="K13" s="12"/>
      <c r="L13" s="12"/>
      <c r="M13" s="13"/>
      <c r="N13" s="13"/>
      <c r="O13" s="14"/>
      <c r="P13" s="129" t="str">
        <f t="shared" ref="P13" si="6">IF(ISERROR(IF(VLOOKUP($B13,$CS$66:$DH$106,COLUMNS($CS$66:$DF$66),FALSE)="ja","!","")),"",IF(VLOOKUP($B13,$CS$66:$DH$106,COLUMNS($CS$66:$DF$66),FALSE)="ja","!",""))</f>
        <v/>
      </c>
      <c r="Q13" s="212"/>
      <c r="R13" s="213"/>
      <c r="S13" s="213"/>
      <c r="T13" s="213"/>
      <c r="U13" s="215"/>
      <c r="V13" s="197"/>
      <c r="W13" s="198"/>
      <c r="X13" s="19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188"/>
      <c r="AK13" s="188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133"/>
      <c r="BH13" s="134"/>
      <c r="BI13" s="134"/>
      <c r="BJ13" s="134"/>
      <c r="BK13" s="134"/>
      <c r="BL13" s="134"/>
      <c r="BM13" s="135"/>
      <c r="BN13" s="20"/>
      <c r="BO13" s="20"/>
      <c r="BP13" s="21"/>
      <c r="BQ13" s="255"/>
      <c r="BR13" s="256"/>
      <c r="BS13" s="231"/>
      <c r="BT13" s="166"/>
      <c r="BU13" s="166"/>
      <c r="BV13" s="166"/>
      <c r="BW13" s="251"/>
      <c r="BX13" s="447" t="str">
        <f t="shared" ref="BX13" si="7">IF(ISERROR(IF(VLOOKUP($CF13,$CS$66:$DH$106,COLUMNS($CS$66:$DF$66),FALSE)="ja","!","")),"",IF(VLOOKUP($CF13,$CS$66:$DH$106,COLUMNS($CS$66:$DF$66),FALSE)="ja","!",""))</f>
        <v/>
      </c>
      <c r="BY13" s="10"/>
      <c r="BZ13" s="11"/>
      <c r="CA13" s="11"/>
      <c r="CB13" s="9"/>
      <c r="CC13" s="9"/>
      <c r="CD13" s="9"/>
      <c r="CE13" s="9"/>
      <c r="CF13" s="117" t="str">
        <f>IF(VLOOKUP($CM13,$CR$66:$DH$106,COLUMNS($CR$66:$DA$66),FALSE)=NameSpieler2,VLOOKUP($CM13,$CR$66:$DH$106,COLUMNS($CR$67:$CS$67),FALSE),"")</f>
        <v/>
      </c>
      <c r="CG13" s="117"/>
      <c r="CH13" s="117"/>
      <c r="CI13" s="117"/>
      <c r="CJ13" s="117"/>
      <c r="CK13" s="117"/>
      <c r="CL13" s="118"/>
      <c r="CM13" s="110">
        <v>10</v>
      </c>
      <c r="CN13" s="6"/>
      <c r="CO13" s="6"/>
    </row>
    <row r="14" spans="1:93" ht="9" customHeight="1" thickBot="1" x14ac:dyDescent="0.25">
      <c r="A14" s="110"/>
      <c r="B14" s="444"/>
      <c r="C14" s="445"/>
      <c r="D14" s="445"/>
      <c r="E14" s="445"/>
      <c r="F14" s="445"/>
      <c r="G14" s="445"/>
      <c r="H14" s="445"/>
      <c r="I14" s="12"/>
      <c r="J14" s="12"/>
      <c r="K14" s="12"/>
      <c r="L14" s="12"/>
      <c r="M14" s="13"/>
      <c r="N14" s="13"/>
      <c r="O14" s="14"/>
      <c r="P14" s="129"/>
      <c r="Q14" s="191"/>
      <c r="R14" s="166"/>
      <c r="S14" s="166"/>
      <c r="T14" s="166"/>
      <c r="U14" s="195">
        <f>IF(VLOOKUP(V14,$CS$66:$DH$106,COLUMNS($CS$66:$DA$66),FALSE)=NameSpieler1,NameSpieler1,IF(VLOOKUP(V14,$CS$66:$DH$106,COLUMNS($CS$66:$DA$66),FALSE)=NameSpieler2,NameSpieler2,VLOOKUP($V14,$CS$66:$CT$106,2,FALSE)))</f>
        <v>1800</v>
      </c>
      <c r="V14" s="197" t="s">
        <v>12</v>
      </c>
      <c r="W14" s="198"/>
      <c r="X14" s="19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136">
        <v>1</v>
      </c>
      <c r="BH14" s="137"/>
      <c r="BI14" s="137"/>
      <c r="BJ14" s="137"/>
      <c r="BK14" s="137"/>
      <c r="BL14" s="137"/>
      <c r="BM14" s="138"/>
      <c r="BN14" s="20"/>
      <c r="BO14" s="20"/>
      <c r="BP14" s="21"/>
      <c r="BQ14" s="255" t="s">
        <v>22</v>
      </c>
      <c r="BR14" s="256"/>
      <c r="BS14" s="231">
        <f>IF(VLOOKUP(BQ14,$CS$66:$DH$106,COLUMNS($CS$66:$DA$66),FALSE)=NameSpieler1,NameSpieler1,IF(VLOOKUP(BQ14,$CS$66:$DH$106,COLUMNS($CS$66:$DA$66),FALSE)=NameSpieler2,NameSpieler2,VLOOKUP(BQ14,$CS$66:$CT$106,2,FALSE)))</f>
        <v>3000</v>
      </c>
      <c r="BT14" s="233"/>
      <c r="BU14" s="234"/>
      <c r="BV14" s="234"/>
      <c r="BW14" s="235"/>
      <c r="BX14" s="447"/>
      <c r="BY14" s="10"/>
      <c r="BZ14" s="11"/>
      <c r="CA14" s="11"/>
      <c r="CB14" s="9"/>
      <c r="CC14" s="9"/>
      <c r="CD14" s="9"/>
      <c r="CE14" s="9"/>
      <c r="CF14" s="117"/>
      <c r="CG14" s="117"/>
      <c r="CH14" s="117"/>
      <c r="CI14" s="117"/>
      <c r="CJ14" s="117"/>
      <c r="CK14" s="117"/>
      <c r="CL14" s="118"/>
      <c r="CM14" s="110"/>
      <c r="CN14" s="6"/>
      <c r="CO14" s="6"/>
    </row>
    <row r="15" spans="1:93" ht="9" customHeight="1" x14ac:dyDescent="0.2">
      <c r="A15" s="110">
        <v>12</v>
      </c>
      <c r="B15" s="184" t="str">
        <f>IF(VLOOKUP($A15,$CR$66:$DH$106,COLUMNS($CR$66:$DA$66),FALSE)=NameSpieler1,VLOOKUP($A15,$CR$66:$DH$106,COLUMNS($CR$67:$CS$67),FALSE),"")</f>
        <v/>
      </c>
      <c r="C15" s="185"/>
      <c r="D15" s="185"/>
      <c r="E15" s="185"/>
      <c r="F15" s="185"/>
      <c r="G15" s="185"/>
      <c r="H15" s="185"/>
      <c r="I15" s="12"/>
      <c r="J15" s="12"/>
      <c r="K15" s="12"/>
      <c r="L15" s="12"/>
      <c r="M15" s="13"/>
      <c r="N15" s="13"/>
      <c r="O15" s="14"/>
      <c r="P15" s="129" t="str">
        <f t="shared" ref="P15" si="8">IF(ISERROR(IF(VLOOKUP($B15,$CS$66:$DH$106,COLUMNS($CS$66:$DF$66),FALSE)="ja","!","")),"",IF(VLOOKUP($B15,$CS$66:$DH$106,COLUMNS($CS$66:$DF$66),FALSE)="ja","!",""))</f>
        <v/>
      </c>
      <c r="Q15" s="192"/>
      <c r="R15" s="166"/>
      <c r="S15" s="166"/>
      <c r="T15" s="166"/>
      <c r="U15" s="196"/>
      <c r="V15" s="197"/>
      <c r="W15" s="198"/>
      <c r="X15" s="19"/>
      <c r="Y15" s="20"/>
      <c r="Z15" s="20"/>
      <c r="AA15" s="20"/>
      <c r="AB15" s="20"/>
      <c r="AC15" s="20"/>
      <c r="AD15" s="20"/>
      <c r="AE15" s="20"/>
      <c r="AF15" s="20"/>
      <c r="AG15" s="20"/>
      <c r="AH15" s="182" t="str">
        <f>IF(OR(AJ15=4,AJ15=5,AJ15=6),"=","")</f>
        <v/>
      </c>
      <c r="AI15" s="183"/>
      <c r="AJ15" s="189">
        <v>3</v>
      </c>
      <c r="AK15" s="189"/>
      <c r="AL15" s="183" t="str">
        <f>IF(OR(AJ15=2,AJ15=3,AJ15=4,AJ15=5,AJ15=6),"=","")</f>
        <v>=</v>
      </c>
      <c r="AM15" s="259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139"/>
      <c r="BH15" s="140"/>
      <c r="BI15" s="140"/>
      <c r="BJ15" s="140"/>
      <c r="BK15" s="140"/>
      <c r="BL15" s="140"/>
      <c r="BM15" s="141"/>
      <c r="BN15" s="20"/>
      <c r="BO15" s="20"/>
      <c r="BP15" s="21"/>
      <c r="BQ15" s="255"/>
      <c r="BR15" s="256"/>
      <c r="BS15" s="231"/>
      <c r="BT15" s="236"/>
      <c r="BU15" s="237"/>
      <c r="BV15" s="237"/>
      <c r="BW15" s="238"/>
      <c r="BX15" s="447" t="str">
        <f t="shared" ref="BX15" si="9">IF(ISERROR(IF(VLOOKUP($CF15,$CS$66:$DH$106,COLUMNS($CS$66:$DF$66),FALSE)="ja","!","")),"",IF(VLOOKUP($CF15,$CS$66:$DH$106,COLUMNS($CS$66:$DF$66),FALSE)="ja","!",""))</f>
        <v/>
      </c>
      <c r="BY15" s="10"/>
      <c r="BZ15" s="11"/>
      <c r="CA15" s="11"/>
      <c r="CB15" s="9"/>
      <c r="CC15" s="9"/>
      <c r="CD15" s="9"/>
      <c r="CE15" s="9"/>
      <c r="CF15" s="119" t="str">
        <f>IF(VLOOKUP($CM15,$CR$66:$DH$106,COLUMNS($CR$66:$DA$66),FALSE)=NameSpieler2,VLOOKUP($CM15,$CR$66:$DH$106,COLUMNS($CR$67:$CS$67),FALSE),"")</f>
        <v/>
      </c>
      <c r="CG15" s="119"/>
      <c r="CH15" s="119"/>
      <c r="CI15" s="119"/>
      <c r="CJ15" s="119"/>
      <c r="CK15" s="119"/>
      <c r="CL15" s="120"/>
      <c r="CM15" s="110">
        <v>12</v>
      </c>
      <c r="CN15" s="6"/>
      <c r="CO15" s="6"/>
    </row>
    <row r="16" spans="1:93" ht="9" customHeight="1" x14ac:dyDescent="0.2">
      <c r="A16" s="110"/>
      <c r="B16" s="184"/>
      <c r="C16" s="185"/>
      <c r="D16" s="185"/>
      <c r="E16" s="185"/>
      <c r="F16" s="185"/>
      <c r="G16" s="185"/>
      <c r="H16" s="185"/>
      <c r="I16" s="12"/>
      <c r="J16" s="12"/>
      <c r="K16" s="12"/>
      <c r="L16" s="12"/>
      <c r="M16" s="13"/>
      <c r="N16" s="13"/>
      <c r="O16" s="14"/>
      <c r="P16" s="129"/>
      <c r="Q16" s="192"/>
      <c r="R16" s="166"/>
      <c r="S16" s="166"/>
      <c r="T16" s="166"/>
      <c r="U16" s="196"/>
      <c r="V16" s="197"/>
      <c r="W16" s="198"/>
      <c r="X16" s="19"/>
      <c r="Y16" s="20"/>
      <c r="Z16" s="20"/>
      <c r="AA16" s="20"/>
      <c r="AB16" s="20"/>
      <c r="AC16" s="20"/>
      <c r="AD16" s="20"/>
      <c r="AE16" s="20"/>
      <c r="AF16" s="20"/>
      <c r="AG16" s="20"/>
      <c r="AH16" s="123"/>
      <c r="AI16" s="124"/>
      <c r="AJ16" s="190"/>
      <c r="AK16" s="190"/>
      <c r="AL16" s="124"/>
      <c r="AM16" s="127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139"/>
      <c r="BH16" s="140"/>
      <c r="BI16" s="140"/>
      <c r="BJ16" s="140"/>
      <c r="BK16" s="140"/>
      <c r="BL16" s="140"/>
      <c r="BM16" s="141"/>
      <c r="BN16" s="20"/>
      <c r="BO16" s="20"/>
      <c r="BP16" s="21"/>
      <c r="BQ16" s="255"/>
      <c r="BR16" s="256"/>
      <c r="BS16" s="231"/>
      <c r="BT16" s="236"/>
      <c r="BU16" s="237"/>
      <c r="BV16" s="237"/>
      <c r="BW16" s="238"/>
      <c r="BX16" s="447"/>
      <c r="BY16" s="10"/>
      <c r="BZ16" s="11"/>
      <c r="CA16" s="11"/>
      <c r="CB16" s="9"/>
      <c r="CC16" s="9"/>
      <c r="CD16" s="9"/>
      <c r="CE16" s="9"/>
      <c r="CF16" s="119"/>
      <c r="CG16" s="119"/>
      <c r="CH16" s="119"/>
      <c r="CI16" s="119"/>
      <c r="CJ16" s="119"/>
      <c r="CK16" s="119"/>
      <c r="CL16" s="120"/>
      <c r="CM16" s="110"/>
      <c r="CN16" s="6"/>
      <c r="CO16" s="6"/>
    </row>
    <row r="17" spans="1:94" ht="9" customHeight="1" thickBot="1" x14ac:dyDescent="0.25">
      <c r="A17" s="110">
        <v>14</v>
      </c>
      <c r="B17" s="184" t="str">
        <f>IF(VLOOKUP($A17,$CR$66:$DH$106,COLUMNS($CR$66:$DA$66),FALSE)=NameSpieler1,VLOOKUP($A17,$CR$66:$DH$106,COLUMNS($CR$67:$CS$67),FALSE),"")</f>
        <v/>
      </c>
      <c r="C17" s="185"/>
      <c r="D17" s="185"/>
      <c r="E17" s="185"/>
      <c r="F17" s="185"/>
      <c r="G17" s="185"/>
      <c r="H17" s="185"/>
      <c r="I17" s="12"/>
      <c r="J17" s="12"/>
      <c r="K17" s="12"/>
      <c r="L17" s="12"/>
      <c r="M17" s="13"/>
      <c r="N17" s="13"/>
      <c r="O17" s="14"/>
      <c r="P17" s="129" t="str">
        <f t="shared" ref="P17" si="10">IF(ISERROR(IF(VLOOKUP($B17,$CS$66:$DH$106,COLUMNS($CS$66:$DF$66),FALSE)="ja","!","")),"",IF(VLOOKUP($B17,$CS$66:$DH$106,COLUMNS($CS$66:$DF$66),FALSE)="ja","!",""))</f>
        <v/>
      </c>
      <c r="Q17" s="192"/>
      <c r="R17" s="166"/>
      <c r="S17" s="166"/>
      <c r="T17" s="166"/>
      <c r="U17" s="196"/>
      <c r="V17" s="197"/>
      <c r="W17" s="198"/>
      <c r="X17" s="19"/>
      <c r="Y17" s="20"/>
      <c r="Z17" s="20"/>
      <c r="AA17" s="20"/>
      <c r="AB17" s="20"/>
      <c r="AC17" s="20"/>
      <c r="AD17" s="20"/>
      <c r="AE17" s="20"/>
      <c r="AF17" s="20"/>
      <c r="AG17" s="20"/>
      <c r="AH17" s="123" t="str">
        <f>IF(AJ15=6,"=","")</f>
        <v/>
      </c>
      <c r="AI17" s="124"/>
      <c r="AJ17" s="124" t="str">
        <f>IF(OR(AJ15=1,AJ15=3,AJ15=5),"=","")</f>
        <v>=</v>
      </c>
      <c r="AK17" s="124"/>
      <c r="AL17" s="124" t="str">
        <f>IF(AJ15=6,"=","")</f>
        <v/>
      </c>
      <c r="AM17" s="127"/>
      <c r="AN17" s="20"/>
      <c r="AO17" s="20"/>
      <c r="AP17" s="20"/>
      <c r="AQ17" s="20"/>
      <c r="AR17" s="20"/>
      <c r="AS17" s="20"/>
      <c r="AT17" s="188">
        <v>6</v>
      </c>
      <c r="AU17" s="188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142"/>
      <c r="BH17" s="143"/>
      <c r="BI17" s="143"/>
      <c r="BJ17" s="143"/>
      <c r="BK17" s="143"/>
      <c r="BL17" s="143"/>
      <c r="BM17" s="144"/>
      <c r="BN17" s="20"/>
      <c r="BO17" s="20"/>
      <c r="BP17" s="21"/>
      <c r="BQ17" s="255"/>
      <c r="BR17" s="256"/>
      <c r="BS17" s="231"/>
      <c r="BT17" s="236"/>
      <c r="BU17" s="237"/>
      <c r="BV17" s="237"/>
      <c r="BW17" s="238"/>
      <c r="BX17" s="447" t="str">
        <f t="shared" ref="BX17" si="11">IF(ISERROR(IF(VLOOKUP($CF17,$CS$66:$DH$106,COLUMNS($CS$66:$DF$66),FALSE)="ja","!","")),"",IF(VLOOKUP($CF17,$CS$66:$DH$106,COLUMNS($CS$66:$DF$66),FALSE)="ja","!",""))</f>
        <v/>
      </c>
      <c r="BY17" s="10"/>
      <c r="BZ17" s="11"/>
      <c r="CA17" s="11"/>
      <c r="CB17" s="9"/>
      <c r="CC17" s="9"/>
      <c r="CD17" s="9"/>
      <c r="CE17" s="9"/>
      <c r="CF17" s="119" t="str">
        <f>IF(VLOOKUP($CM17,$CR$66:$DH$106,COLUMNS($CR$66:$DA$66),FALSE)=NameSpieler2,VLOOKUP($CM17,$CR$66:$DH$106,COLUMNS($CR$67:$CS$67),FALSE),"")</f>
        <v/>
      </c>
      <c r="CG17" s="119"/>
      <c r="CH17" s="119"/>
      <c r="CI17" s="119"/>
      <c r="CJ17" s="119"/>
      <c r="CK17" s="119"/>
      <c r="CL17" s="120"/>
      <c r="CM17" s="110">
        <v>14</v>
      </c>
      <c r="CN17" s="6"/>
      <c r="CO17" s="6"/>
    </row>
    <row r="18" spans="1:94" ht="9" customHeight="1" x14ac:dyDescent="0.2">
      <c r="A18" s="110"/>
      <c r="B18" s="184"/>
      <c r="C18" s="185"/>
      <c r="D18" s="185"/>
      <c r="E18" s="185"/>
      <c r="F18" s="185"/>
      <c r="G18" s="185"/>
      <c r="H18" s="185"/>
      <c r="I18" s="12"/>
      <c r="J18" s="12"/>
      <c r="K18" s="12"/>
      <c r="L18" s="12"/>
      <c r="M18" s="13"/>
      <c r="N18" s="13"/>
      <c r="O18" s="14"/>
      <c r="P18" s="129"/>
      <c r="Q18" s="193"/>
      <c r="R18" s="194"/>
      <c r="S18" s="194"/>
      <c r="T18" s="194"/>
      <c r="U18" s="196"/>
      <c r="V18" s="199"/>
      <c r="W18" s="200"/>
      <c r="X18" s="19"/>
      <c r="Y18" s="20"/>
      <c r="Z18" s="20"/>
      <c r="AA18" s="20"/>
      <c r="AB18" s="20"/>
      <c r="AC18" s="20"/>
      <c r="AD18" s="20"/>
      <c r="AE18" s="20"/>
      <c r="AF18" s="20"/>
      <c r="AG18" s="20"/>
      <c r="AH18" s="123"/>
      <c r="AI18" s="124"/>
      <c r="AJ18" s="124"/>
      <c r="AK18" s="124"/>
      <c r="AL18" s="124"/>
      <c r="AM18" s="127"/>
      <c r="AN18" s="20"/>
      <c r="AO18" s="20"/>
      <c r="AP18" s="20"/>
      <c r="AQ18" s="20"/>
      <c r="AR18" s="20"/>
      <c r="AS18" s="20"/>
      <c r="AT18" s="188"/>
      <c r="AU18" s="188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  <c r="BM18" s="20"/>
      <c r="BN18" s="20"/>
      <c r="BO18" s="20"/>
      <c r="BP18" s="21"/>
      <c r="BQ18" s="260"/>
      <c r="BR18" s="261"/>
      <c r="BS18" s="232"/>
      <c r="BT18" s="236"/>
      <c r="BU18" s="237"/>
      <c r="BV18" s="237"/>
      <c r="BW18" s="238"/>
      <c r="BX18" s="447"/>
      <c r="BY18" s="10"/>
      <c r="BZ18" s="11"/>
      <c r="CA18" s="11"/>
      <c r="CB18" s="9"/>
      <c r="CC18" s="9"/>
      <c r="CD18" s="9"/>
      <c r="CE18" s="9"/>
      <c r="CF18" s="119"/>
      <c r="CG18" s="119"/>
      <c r="CH18" s="119"/>
      <c r="CI18" s="119"/>
      <c r="CJ18" s="119"/>
      <c r="CK18" s="119"/>
      <c r="CL18" s="120"/>
      <c r="CM18" s="110"/>
      <c r="CN18" s="6"/>
      <c r="CO18" s="6"/>
    </row>
    <row r="19" spans="1:94" ht="9" customHeight="1" thickBot="1" x14ac:dyDescent="0.25">
      <c r="A19" s="110">
        <v>15</v>
      </c>
      <c r="B19" s="184" t="str">
        <f>IF(VLOOKUP($A19,$CR$66:$DH$106,COLUMNS($CR$66:$DA$66),FALSE)=NameSpieler1,VLOOKUP($A19,$CR$66:$DH$106,COLUMNS($CR$67:$CS$67),FALSE),"")</f>
        <v/>
      </c>
      <c r="C19" s="185"/>
      <c r="D19" s="185"/>
      <c r="E19" s="185"/>
      <c r="F19" s="185"/>
      <c r="G19" s="185"/>
      <c r="H19" s="185"/>
      <c r="I19" s="12"/>
      <c r="J19" s="12"/>
      <c r="K19" s="12"/>
      <c r="L19" s="12"/>
      <c r="M19" s="13"/>
      <c r="N19" s="13"/>
      <c r="O19" s="14"/>
      <c r="P19" s="129" t="str">
        <f t="shared" ref="P19" si="12">IF(ISERROR(IF(VLOOKUP($B19,$CS$66:$DH$106,COLUMNS($CS$66:$DF$66),FALSE)="ja","!","")),"",IF(VLOOKUP($B19,$CS$66:$DH$106,COLUMNS($CS$66:$DF$66),FALSE)="ja","!",""))</f>
        <v/>
      </c>
      <c r="Q19" s="201" t="s">
        <v>63</v>
      </c>
      <c r="R19" s="202"/>
      <c r="S19" s="202"/>
      <c r="T19" s="202"/>
      <c r="U19" s="202"/>
      <c r="V19" s="202"/>
      <c r="W19" s="203"/>
      <c r="X19" s="19"/>
      <c r="Y19" s="20"/>
      <c r="Z19" s="20"/>
      <c r="AA19" s="20"/>
      <c r="AB19" s="20"/>
      <c r="AC19" s="20"/>
      <c r="AD19" s="20"/>
      <c r="AE19" s="20"/>
      <c r="AF19" s="20"/>
      <c r="AG19" s="20"/>
      <c r="AH19" s="123" t="str">
        <f>IF(OR($AJ$15=2,AJ15=3,AJ15=4,AJ15=5,AJ15=6),"=","")</f>
        <v>=</v>
      </c>
      <c r="AI19" s="124"/>
      <c r="AJ19" s="124"/>
      <c r="AK19" s="124"/>
      <c r="AL19" s="124" t="str">
        <f>IF(OR(AJ15=4,AJ15=5,AJ15=6),"=","")</f>
        <v/>
      </c>
      <c r="AM19" s="127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  <c r="BM19" s="20"/>
      <c r="BN19" s="20"/>
      <c r="BO19" s="20"/>
      <c r="BP19" s="21"/>
      <c r="BQ19" s="264" t="s">
        <v>63</v>
      </c>
      <c r="BR19" s="265"/>
      <c r="BS19" s="265"/>
      <c r="BT19" s="265"/>
      <c r="BU19" s="265"/>
      <c r="BV19" s="265"/>
      <c r="BW19" s="266"/>
      <c r="BX19" s="447" t="str">
        <f t="shared" ref="BX19" si="13">IF(ISERROR(IF(VLOOKUP($CF19,$CS$66:$DH$106,COLUMNS($CS$66:$DF$66),FALSE)="ja","!","")),"",IF(VLOOKUP($CF19,$CS$66:$DH$106,COLUMNS($CS$66:$DF$66),FALSE)="ja","!",""))</f>
        <v/>
      </c>
      <c r="BY19" s="10"/>
      <c r="BZ19" s="11"/>
      <c r="CA19" s="11"/>
      <c r="CB19" s="9"/>
      <c r="CC19" s="9"/>
      <c r="CD19" s="9"/>
      <c r="CE19" s="9"/>
      <c r="CF19" s="119" t="str">
        <f>IF(VLOOKUP($CM19,$CR$66:$DH$106,COLUMNS($CR$66:$DA$66),FALSE)=NameSpieler2,VLOOKUP($CM19,$CR$66:$DH$106,COLUMNS($CR$67:$CS$67),FALSE),"")</f>
        <v/>
      </c>
      <c r="CG19" s="119"/>
      <c r="CH19" s="119"/>
      <c r="CI19" s="119"/>
      <c r="CJ19" s="119"/>
      <c r="CK19" s="119"/>
      <c r="CL19" s="120"/>
      <c r="CM19" s="110">
        <v>15</v>
      </c>
      <c r="CN19" s="6"/>
      <c r="CO19" s="6"/>
    </row>
    <row r="20" spans="1:94" ht="9" customHeight="1" thickBot="1" x14ac:dyDescent="0.25">
      <c r="A20" s="110"/>
      <c r="B20" s="184"/>
      <c r="C20" s="185"/>
      <c r="D20" s="185"/>
      <c r="E20" s="185"/>
      <c r="F20" s="185"/>
      <c r="G20" s="185"/>
      <c r="H20" s="185"/>
      <c r="I20" s="12"/>
      <c r="J20" s="12"/>
      <c r="K20" s="12"/>
      <c r="L20" s="12"/>
      <c r="M20" s="13"/>
      <c r="N20" s="13"/>
      <c r="O20" s="14"/>
      <c r="P20" s="129"/>
      <c r="Q20" s="204"/>
      <c r="R20" s="205"/>
      <c r="S20" s="205"/>
      <c r="T20" s="205"/>
      <c r="U20" s="205"/>
      <c r="V20" s="205"/>
      <c r="W20" s="206"/>
      <c r="X20" s="19"/>
      <c r="Y20" s="20"/>
      <c r="Z20" s="20"/>
      <c r="AA20" s="20"/>
      <c r="AB20" s="20"/>
      <c r="AC20" s="20"/>
      <c r="AD20" s="20"/>
      <c r="AE20" s="20"/>
      <c r="AF20" s="20"/>
      <c r="AG20" s="20"/>
      <c r="AH20" s="125"/>
      <c r="AI20" s="126"/>
      <c r="AJ20" s="126"/>
      <c r="AK20" s="126"/>
      <c r="AL20" s="126"/>
      <c r="AM20" s="128"/>
      <c r="AN20" s="20"/>
      <c r="AO20" s="20"/>
      <c r="AP20" s="20"/>
      <c r="AQ20" s="20"/>
      <c r="AR20" s="182" t="str">
        <f>IF(OR(AT17=4,AT17=5,AT17=6),"=","")</f>
        <v>=</v>
      </c>
      <c r="AS20" s="183"/>
      <c r="AT20" s="183"/>
      <c r="AU20" s="183"/>
      <c r="AV20" s="183" t="str">
        <f>IF(OR(AT17=2,AT17=3,AT17=4,AT17=5,AT17=6),"=","")</f>
        <v>=</v>
      </c>
      <c r="AW20" s="259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20"/>
      <c r="BP20" s="21"/>
      <c r="BQ20" s="267"/>
      <c r="BR20" s="265"/>
      <c r="BS20" s="265"/>
      <c r="BT20" s="265"/>
      <c r="BU20" s="265"/>
      <c r="BV20" s="265"/>
      <c r="BW20" s="266"/>
      <c r="BX20" s="447"/>
      <c r="BY20" s="10"/>
      <c r="BZ20" s="11"/>
      <c r="CA20" s="11"/>
      <c r="CB20" s="9"/>
      <c r="CC20" s="9"/>
      <c r="CD20" s="9"/>
      <c r="CE20" s="9"/>
      <c r="CF20" s="119"/>
      <c r="CG20" s="119"/>
      <c r="CH20" s="119"/>
      <c r="CI20" s="119"/>
      <c r="CJ20" s="119"/>
      <c r="CK20" s="119"/>
      <c r="CL20" s="120"/>
      <c r="CM20" s="110"/>
      <c r="CN20" s="6"/>
      <c r="CO20" s="6"/>
    </row>
    <row r="21" spans="1:94" ht="9" customHeight="1" x14ac:dyDescent="0.2">
      <c r="A21" s="110">
        <v>17</v>
      </c>
      <c r="B21" s="186" t="str">
        <f>IF(VLOOKUP($A21,$CR$66:$DH$106,COLUMNS($CR$66:$DA$66),FALSE)=NameSpieler1,VLOOKUP($A21,$CR$66:$DH$106,COLUMNS($CR$67:$CS$67),FALSE),"")</f>
        <v/>
      </c>
      <c r="C21" s="187"/>
      <c r="D21" s="187"/>
      <c r="E21" s="187"/>
      <c r="F21" s="187"/>
      <c r="G21" s="187"/>
      <c r="H21" s="187"/>
      <c r="I21" s="12"/>
      <c r="J21" s="12"/>
      <c r="K21" s="12"/>
      <c r="L21" s="12"/>
      <c r="M21" s="13"/>
      <c r="N21" s="13"/>
      <c r="O21" s="14"/>
      <c r="P21" s="129" t="str">
        <f t="shared" ref="P21" si="14">IF(ISERROR(IF(VLOOKUP($B21,$CS$66:$DH$106,COLUMNS($CS$66:$DF$66),FALSE)="ja","!","")),"",IF(VLOOKUP($B21,$CS$66:$DH$106,COLUMNS($CS$66:$DF$66),FALSE)="ja","!",""))</f>
        <v/>
      </c>
      <c r="Q21" s="204"/>
      <c r="R21" s="205"/>
      <c r="S21" s="205"/>
      <c r="T21" s="205"/>
      <c r="U21" s="205"/>
      <c r="V21" s="205"/>
      <c r="W21" s="206"/>
      <c r="X21" s="19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123"/>
      <c r="AS21" s="124"/>
      <c r="AT21" s="124"/>
      <c r="AU21" s="124"/>
      <c r="AV21" s="124"/>
      <c r="AW21" s="127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  <c r="BM21" s="20"/>
      <c r="BN21" s="20"/>
      <c r="BO21" s="20"/>
      <c r="BP21" s="21"/>
      <c r="BQ21" s="267"/>
      <c r="BR21" s="265"/>
      <c r="BS21" s="265"/>
      <c r="BT21" s="265"/>
      <c r="BU21" s="265"/>
      <c r="BV21" s="265"/>
      <c r="BW21" s="266"/>
      <c r="BX21" s="447" t="str">
        <f t="shared" ref="BX21" si="15">IF(ISERROR(IF(VLOOKUP($CF21,$CS$66:$DH$106,COLUMNS($CS$66:$DF$66),FALSE)="ja","!","")),"",IF(VLOOKUP($CF21,$CS$66:$DH$106,COLUMNS($CS$66:$DF$66),FALSE)="ja","!",""))</f>
        <v/>
      </c>
      <c r="BY21" s="10"/>
      <c r="BZ21" s="11"/>
      <c r="CA21" s="11"/>
      <c r="CB21" s="9"/>
      <c r="CC21" s="9"/>
      <c r="CD21" s="9"/>
      <c r="CE21" s="9"/>
      <c r="CF21" s="121" t="str">
        <f>IF(VLOOKUP($CM21,$CR$66:$DH$106,COLUMNS($CR$66:$DA$66),FALSE)=NameSpieler2,VLOOKUP($CM21,$CR$66:$DH$106,COLUMNS($CR$67:$CS$67),FALSE),"")</f>
        <v/>
      </c>
      <c r="CG21" s="121"/>
      <c r="CH21" s="121"/>
      <c r="CI21" s="121"/>
      <c r="CJ21" s="121"/>
      <c r="CK21" s="121"/>
      <c r="CL21" s="122"/>
      <c r="CM21" s="110">
        <v>17</v>
      </c>
      <c r="CN21" s="6"/>
      <c r="CO21" s="6"/>
    </row>
    <row r="22" spans="1:94" ht="9" customHeight="1" x14ac:dyDescent="0.2">
      <c r="A22" s="110"/>
      <c r="B22" s="186"/>
      <c r="C22" s="187"/>
      <c r="D22" s="187"/>
      <c r="E22" s="187"/>
      <c r="F22" s="187"/>
      <c r="G22" s="187"/>
      <c r="H22" s="187"/>
      <c r="I22" s="12"/>
      <c r="J22" s="12"/>
      <c r="K22" s="12"/>
      <c r="L22" s="12"/>
      <c r="M22" s="13"/>
      <c r="N22" s="13"/>
      <c r="O22" s="14"/>
      <c r="P22" s="129"/>
      <c r="Q22" s="204"/>
      <c r="R22" s="205"/>
      <c r="S22" s="205"/>
      <c r="T22" s="205"/>
      <c r="U22" s="205"/>
      <c r="V22" s="205"/>
      <c r="W22" s="206"/>
      <c r="X22" s="19"/>
      <c r="Y22" s="20"/>
      <c r="Z22" s="20"/>
      <c r="AA22" s="20"/>
      <c r="AB22" s="20"/>
      <c r="AC22" s="20"/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123" t="str">
        <f>IF(AT17=6,"=","")</f>
        <v>=</v>
      </c>
      <c r="AS22" s="124"/>
      <c r="AT22" s="124" t="str">
        <f>IF(OR(AT17=1,AT17=3,AT17=5),"=","")</f>
        <v/>
      </c>
      <c r="AU22" s="124"/>
      <c r="AV22" s="124" t="str">
        <f>IF(AT17=6,"=","")</f>
        <v>=</v>
      </c>
      <c r="AW22" s="127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1"/>
      <c r="BQ22" s="267"/>
      <c r="BR22" s="265"/>
      <c r="BS22" s="265"/>
      <c r="BT22" s="265"/>
      <c r="BU22" s="265"/>
      <c r="BV22" s="265"/>
      <c r="BW22" s="266"/>
      <c r="BX22" s="447"/>
      <c r="BY22" s="10"/>
      <c r="BZ22" s="11"/>
      <c r="CA22" s="11"/>
      <c r="CB22" s="9"/>
      <c r="CC22" s="9"/>
      <c r="CD22" s="9"/>
      <c r="CE22" s="9"/>
      <c r="CF22" s="121"/>
      <c r="CG22" s="121"/>
      <c r="CH22" s="121"/>
      <c r="CI22" s="121"/>
      <c r="CJ22" s="121"/>
      <c r="CK22" s="121"/>
      <c r="CL22" s="122"/>
      <c r="CM22" s="110"/>
      <c r="CN22" s="6"/>
      <c r="CO22" s="6"/>
    </row>
    <row r="23" spans="1:94" ht="9" customHeight="1" x14ac:dyDescent="0.2">
      <c r="A23" s="110">
        <v>19</v>
      </c>
      <c r="B23" s="186" t="str">
        <f>IF(VLOOKUP($A23,$CR$66:$DH$106,COLUMNS($CR$66:$DA$66),FALSE)=NameSpieler1,VLOOKUP($A23,$CR$66:$DH$106,COLUMNS($CR$67:$CS$67),FALSE),"")</f>
        <v/>
      </c>
      <c r="C23" s="187"/>
      <c r="D23" s="187"/>
      <c r="E23" s="187"/>
      <c r="F23" s="187"/>
      <c r="G23" s="187"/>
      <c r="H23" s="187"/>
      <c r="I23" s="12"/>
      <c r="J23" s="12"/>
      <c r="K23" s="12"/>
      <c r="L23" s="12"/>
      <c r="M23" s="13"/>
      <c r="N23" s="13"/>
      <c r="O23" s="14"/>
      <c r="P23" s="129" t="str">
        <f t="shared" ref="P23" si="16">IF(ISERROR(IF(VLOOKUP($B23,$CS$66:$DH$106,COLUMNS($CS$66:$DF$66),FALSE)="ja","!","")),"",IF(VLOOKUP($B23,$CS$66:$DH$106,COLUMNS($CS$66:$DF$66),FALSE)="ja","!",""))</f>
        <v/>
      </c>
      <c r="Q23" s="207"/>
      <c r="R23" s="208"/>
      <c r="S23" s="208"/>
      <c r="T23" s="208"/>
      <c r="U23" s="208"/>
      <c r="V23" s="208"/>
      <c r="W23" s="209"/>
      <c r="X23" s="19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123"/>
      <c r="AS23" s="124"/>
      <c r="AT23" s="124"/>
      <c r="AU23" s="124"/>
      <c r="AV23" s="124"/>
      <c r="AW23" s="127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  <c r="BI23" s="20"/>
      <c r="BJ23" s="20"/>
      <c r="BK23" s="20"/>
      <c r="BL23" s="20"/>
      <c r="BM23" s="20"/>
      <c r="BN23" s="20"/>
      <c r="BO23" s="20"/>
      <c r="BP23" s="21"/>
      <c r="BQ23" s="267"/>
      <c r="BR23" s="265"/>
      <c r="BS23" s="265"/>
      <c r="BT23" s="265"/>
      <c r="BU23" s="265"/>
      <c r="BV23" s="265"/>
      <c r="BW23" s="266"/>
      <c r="BX23" s="447" t="str">
        <f t="shared" ref="BX23" si="17">IF(ISERROR(IF(VLOOKUP($CF23,$CS$66:$DH$106,COLUMNS($CS$66:$DF$66),FALSE)="ja","!","")),"",IF(VLOOKUP($CF23,$CS$66:$DH$106,COLUMNS($CS$66:$DF$66),FALSE)="ja","!",""))</f>
        <v/>
      </c>
      <c r="BY23" s="10"/>
      <c r="BZ23" s="11"/>
      <c r="CA23" s="11"/>
      <c r="CB23" s="9"/>
      <c r="CC23" s="9"/>
      <c r="CD23" s="9"/>
      <c r="CE23" s="9"/>
      <c r="CF23" s="121" t="str">
        <f>IF(VLOOKUP($CM23,$CR$66:$DH$106,COLUMNS($CR$66:$DA$66),FALSE)=NameSpieler2,VLOOKUP($CM23,$CR$66:$DH$106,COLUMNS($CR$67:$CS$67),FALSE),"")</f>
        <v/>
      </c>
      <c r="CG23" s="121"/>
      <c r="CH23" s="121"/>
      <c r="CI23" s="121"/>
      <c r="CJ23" s="121"/>
      <c r="CK23" s="121"/>
      <c r="CL23" s="122"/>
      <c r="CM23" s="110">
        <v>19</v>
      </c>
      <c r="CN23" s="6"/>
      <c r="CO23" s="6"/>
      <c r="CP23" s="15"/>
    </row>
    <row r="24" spans="1:94" ht="9" customHeight="1" x14ac:dyDescent="0.2">
      <c r="A24" s="110"/>
      <c r="B24" s="186"/>
      <c r="C24" s="187"/>
      <c r="D24" s="187"/>
      <c r="E24" s="187"/>
      <c r="F24" s="187"/>
      <c r="G24" s="187"/>
      <c r="H24" s="187"/>
      <c r="I24" s="12"/>
      <c r="J24" s="12"/>
      <c r="K24" s="12"/>
      <c r="L24" s="12"/>
      <c r="M24" s="13"/>
      <c r="N24" s="13"/>
      <c r="O24" s="14"/>
      <c r="P24" s="129"/>
      <c r="Q24" s="446"/>
      <c r="R24" s="287"/>
      <c r="S24" s="287"/>
      <c r="T24" s="287"/>
      <c r="U24" s="215">
        <f>IF(VLOOKUP(V24,$CS$66:$DH$106,COLUMNS($CS$66:$DA$66),FALSE)=NameSpieler1,NameSpieler1,IF(VLOOKUP(V24,$CS$66:$DH$106,COLUMNS($CS$66:$DA$66),FALSE)=NameSpieler2,NameSpieler2,VLOOKUP($V24,$CS$66:$CT$106,2,FALSE)))</f>
        <v>1800</v>
      </c>
      <c r="V24" s="227" t="s">
        <v>0</v>
      </c>
      <c r="W24" s="228"/>
      <c r="X24" s="19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123" t="str">
        <f>IF(OR(AT17=2,AT17=3,AT17=4,AT17=5,AT17=6),"=","")</f>
        <v>=</v>
      </c>
      <c r="AS24" s="124"/>
      <c r="AT24" s="124"/>
      <c r="AU24" s="124"/>
      <c r="AV24" s="124" t="str">
        <f>IF(OR(AT17=4,AT17=5,AT17=6),"=","")</f>
        <v>=</v>
      </c>
      <c r="AW24" s="127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20"/>
      <c r="BI24" s="20"/>
      <c r="BJ24" s="20"/>
      <c r="BK24" s="20"/>
      <c r="BL24" s="20"/>
      <c r="BM24" s="20"/>
      <c r="BN24" s="20"/>
      <c r="BO24" s="20"/>
      <c r="BP24" s="21"/>
      <c r="BQ24" s="283" t="s">
        <v>23</v>
      </c>
      <c r="BR24" s="284"/>
      <c r="BS24" s="285">
        <f>IF(VLOOKUP(BQ24,$CS$66:$DH$106,COLUMNS($CS$66:$DA$66),FALSE)=NameSpieler1,NameSpieler1,IF(VLOOKUP(BQ24,$CS$66:$DH$106,COLUMNS($CS$66:$DA$66),FALSE)=NameSpieler2,NameSpieler2,VLOOKUP(BQ24,$CS$66:$CT$106,2,FALSE)))</f>
        <v>3200</v>
      </c>
      <c r="BT24" s="286"/>
      <c r="BU24" s="287"/>
      <c r="BV24" s="287"/>
      <c r="BW24" s="288"/>
      <c r="BX24" s="447"/>
      <c r="BY24" s="10"/>
      <c r="BZ24" s="11"/>
      <c r="CA24" s="11"/>
      <c r="CB24" s="9"/>
      <c r="CC24" s="9"/>
      <c r="CD24" s="9"/>
      <c r="CE24" s="9"/>
      <c r="CF24" s="121"/>
      <c r="CG24" s="121"/>
      <c r="CH24" s="121"/>
      <c r="CI24" s="121"/>
      <c r="CJ24" s="121"/>
      <c r="CK24" s="121"/>
      <c r="CL24" s="122"/>
      <c r="CM24" s="110"/>
      <c r="CN24" s="6"/>
      <c r="CO24" s="6"/>
    </row>
    <row r="25" spans="1:94" ht="9" customHeight="1" thickBot="1" x14ac:dyDescent="0.25">
      <c r="A25" s="110">
        <v>20</v>
      </c>
      <c r="B25" s="186" t="str">
        <f>IF(VLOOKUP($A25,$CR$66:$DH$106,COLUMNS($CR$66:$DA$66),FALSE)=NameSpieler1,VLOOKUP($A25,$CR$66:$DH$106,COLUMNS($CR$67:$CS$67),FALSE),"")</f>
        <v/>
      </c>
      <c r="C25" s="187"/>
      <c r="D25" s="187"/>
      <c r="E25" s="187"/>
      <c r="F25" s="187"/>
      <c r="G25" s="187"/>
      <c r="H25" s="187"/>
      <c r="I25" s="12"/>
      <c r="J25" s="12"/>
      <c r="K25" s="12"/>
      <c r="L25" s="12"/>
      <c r="M25" s="13"/>
      <c r="N25" s="13"/>
      <c r="O25" s="14"/>
      <c r="P25" s="129" t="str">
        <f t="shared" ref="P25" si="18">IF(ISERROR(IF(VLOOKUP($B25,$CS$66:$DH$106,COLUMNS($CS$66:$DF$66),FALSE)="ja","!","")),"",IF(VLOOKUP($B25,$CS$66:$DH$106,COLUMNS($CS$66:$DF$66),FALSE)="ja","!",""))</f>
        <v/>
      </c>
      <c r="Q25" s="192"/>
      <c r="R25" s="166"/>
      <c r="S25" s="166"/>
      <c r="T25" s="166"/>
      <c r="U25" s="412"/>
      <c r="V25" s="197"/>
      <c r="W25" s="198"/>
      <c r="X25" s="19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125"/>
      <c r="AS25" s="126"/>
      <c r="AT25" s="126"/>
      <c r="AU25" s="126"/>
      <c r="AV25" s="126"/>
      <c r="AW25" s="128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1"/>
      <c r="BQ25" s="255"/>
      <c r="BR25" s="256"/>
      <c r="BS25" s="231"/>
      <c r="BT25" s="166"/>
      <c r="BU25" s="166"/>
      <c r="BV25" s="166"/>
      <c r="BW25" s="251"/>
      <c r="BX25" s="447" t="str">
        <f t="shared" ref="BX25" si="19">IF(ISERROR(IF(VLOOKUP($CF25,$CS$66:$DH$106,COLUMNS($CS$66:$DF$66),FALSE)="ja","!","")),"",IF(VLOOKUP($CF25,$CS$66:$DH$106,COLUMNS($CS$66:$DF$66),FALSE)="ja","!",""))</f>
        <v/>
      </c>
      <c r="BY25" s="10"/>
      <c r="BZ25" s="11"/>
      <c r="CA25" s="11"/>
      <c r="CB25" s="9"/>
      <c r="CC25" s="9"/>
      <c r="CD25" s="9"/>
      <c r="CE25" s="9"/>
      <c r="CF25" s="121" t="str">
        <f>IF(VLOOKUP($CM25,$CR$66:$DH$106,COLUMNS($CR$66:$DA$66),FALSE)=NameSpieler2,VLOOKUP($CM25,$CR$66:$DH$106,COLUMNS($CR$67:$CS$67),FALSE),"")</f>
        <v/>
      </c>
      <c r="CG25" s="121"/>
      <c r="CH25" s="121"/>
      <c r="CI25" s="121"/>
      <c r="CJ25" s="121"/>
      <c r="CK25" s="121"/>
      <c r="CL25" s="122"/>
      <c r="CM25" s="110">
        <v>20</v>
      </c>
      <c r="CN25" s="6"/>
      <c r="CO25" s="6"/>
    </row>
    <row r="26" spans="1:94" ht="9" customHeight="1" x14ac:dyDescent="0.2">
      <c r="A26" s="110"/>
      <c r="B26" s="186"/>
      <c r="C26" s="187"/>
      <c r="D26" s="187"/>
      <c r="E26" s="187"/>
      <c r="F26" s="187"/>
      <c r="G26" s="187"/>
      <c r="H26" s="187"/>
      <c r="I26" s="12"/>
      <c r="J26" s="12"/>
      <c r="K26" s="12"/>
      <c r="L26" s="12"/>
      <c r="M26" s="13"/>
      <c r="N26" s="13"/>
      <c r="O26" s="14"/>
      <c r="P26" s="129"/>
      <c r="Q26" s="192"/>
      <c r="R26" s="166"/>
      <c r="S26" s="166"/>
      <c r="T26" s="166"/>
      <c r="U26" s="412"/>
      <c r="V26" s="197"/>
      <c r="W26" s="198"/>
      <c r="X26" s="19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1"/>
      <c r="BQ26" s="255"/>
      <c r="BR26" s="256"/>
      <c r="BS26" s="231"/>
      <c r="BT26" s="166"/>
      <c r="BU26" s="166"/>
      <c r="BV26" s="166"/>
      <c r="BW26" s="251"/>
      <c r="BX26" s="447"/>
      <c r="BY26" s="10"/>
      <c r="BZ26" s="11"/>
      <c r="CA26" s="11"/>
      <c r="CB26" s="9"/>
      <c r="CC26" s="9"/>
      <c r="CD26" s="9"/>
      <c r="CE26" s="9"/>
      <c r="CF26" s="121"/>
      <c r="CG26" s="121"/>
      <c r="CH26" s="121"/>
      <c r="CI26" s="121"/>
      <c r="CJ26" s="121"/>
      <c r="CK26" s="121"/>
      <c r="CL26" s="122"/>
      <c r="CM26" s="110"/>
      <c r="CN26" s="6"/>
      <c r="CO26" s="6"/>
    </row>
    <row r="27" spans="1:94" ht="9" customHeight="1" x14ac:dyDescent="0.2">
      <c r="A27" s="110">
        <v>22</v>
      </c>
      <c r="B27" s="350" t="str">
        <f>IF(VLOOKUP($A27,$CR$66:$DH$106,COLUMNS($CR$66:$DA$66),FALSE)=NameSpieler1,VLOOKUP($A27,$CR$66:$DH$106,COLUMNS($CR$67:$CS$67),FALSE),"")</f>
        <v/>
      </c>
      <c r="C27" s="351"/>
      <c r="D27" s="351"/>
      <c r="E27" s="351"/>
      <c r="F27" s="351"/>
      <c r="G27" s="351"/>
      <c r="H27" s="351"/>
      <c r="I27" s="12"/>
      <c r="J27" s="12"/>
      <c r="K27" s="12"/>
      <c r="L27" s="12"/>
      <c r="M27" s="13"/>
      <c r="N27" s="13"/>
      <c r="O27" s="14"/>
      <c r="P27" s="129" t="str">
        <f t="shared" ref="P27" si="20">IF(ISERROR(IF(VLOOKUP($B27,$CS$66:$DH$106,COLUMNS($CS$66:$DF$66),FALSE)="ja","!","")),"",IF(VLOOKUP($B27,$CS$66:$DH$106,COLUMNS($CS$66:$DF$66),FALSE)="ja","!",""))</f>
        <v/>
      </c>
      <c r="Q27" s="192"/>
      <c r="R27" s="166"/>
      <c r="S27" s="166"/>
      <c r="T27" s="166"/>
      <c r="U27" s="412"/>
      <c r="V27" s="197"/>
      <c r="W27" s="198"/>
      <c r="X27" s="19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1"/>
      <c r="BQ27" s="255"/>
      <c r="BR27" s="256"/>
      <c r="BS27" s="231"/>
      <c r="BT27" s="166"/>
      <c r="BU27" s="166"/>
      <c r="BV27" s="166"/>
      <c r="BW27" s="251"/>
      <c r="BX27" s="447" t="str">
        <f t="shared" ref="BX27" si="21">IF(ISERROR(IF(VLOOKUP($CF27,$CS$66:$DH$106,COLUMNS($CS$66:$DF$66),FALSE)="ja","!","")),"",IF(VLOOKUP($CF27,$CS$66:$DH$106,COLUMNS($CS$66:$DF$66),FALSE)="ja","!",""))</f>
        <v/>
      </c>
      <c r="BY27" s="10"/>
      <c r="BZ27" s="11"/>
      <c r="CA27" s="11"/>
      <c r="CB27" s="9"/>
      <c r="CC27" s="9"/>
      <c r="CD27" s="9"/>
      <c r="CE27" s="9"/>
      <c r="CF27" s="145" t="str">
        <f>IF(VLOOKUP($CM27,$CR$66:$DH$106,COLUMNS($CR$66:$DA$66),FALSE)=NameSpieler2,VLOOKUP($CM27,$CR$66:$DH$106,COLUMNS($CR$67:$CS$67),FALSE),"")</f>
        <v/>
      </c>
      <c r="CG27" s="145"/>
      <c r="CH27" s="145"/>
      <c r="CI27" s="145"/>
      <c r="CJ27" s="145"/>
      <c r="CK27" s="145"/>
      <c r="CL27" s="146"/>
      <c r="CM27" s="110">
        <v>22</v>
      </c>
      <c r="CN27" s="6"/>
      <c r="CO27" s="6"/>
    </row>
    <row r="28" spans="1:94" ht="9" customHeight="1" thickBot="1" x14ac:dyDescent="0.25">
      <c r="A28" s="110"/>
      <c r="B28" s="350"/>
      <c r="C28" s="351"/>
      <c r="D28" s="351"/>
      <c r="E28" s="351"/>
      <c r="F28" s="351"/>
      <c r="G28" s="351"/>
      <c r="H28" s="351"/>
      <c r="I28" s="12"/>
      <c r="J28" s="12"/>
      <c r="K28" s="12"/>
      <c r="L28" s="12"/>
      <c r="M28" s="13"/>
      <c r="N28" s="13"/>
      <c r="O28" s="14"/>
      <c r="P28" s="129"/>
      <c r="Q28" s="192"/>
      <c r="R28" s="166"/>
      <c r="S28" s="166"/>
      <c r="T28" s="166"/>
      <c r="U28" s="412"/>
      <c r="V28" s="197"/>
      <c r="W28" s="198"/>
      <c r="X28" s="19"/>
      <c r="Y28" s="20"/>
      <c r="Z28" s="20"/>
      <c r="AA28" s="20"/>
      <c r="AB28" s="27"/>
      <c r="AC28" s="28"/>
      <c r="AD28" s="28"/>
      <c r="AE28" s="28"/>
      <c r="AF28" s="28"/>
      <c r="AG28" s="28"/>
      <c r="AH28" s="29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1"/>
      <c r="BQ28" s="255"/>
      <c r="BR28" s="256"/>
      <c r="BS28" s="231"/>
      <c r="BT28" s="166"/>
      <c r="BU28" s="166"/>
      <c r="BV28" s="166"/>
      <c r="BW28" s="251"/>
      <c r="BX28" s="447"/>
      <c r="BY28" s="10"/>
      <c r="BZ28" s="11"/>
      <c r="CA28" s="11"/>
      <c r="CB28" s="9"/>
      <c r="CC28" s="9"/>
      <c r="CD28" s="9"/>
      <c r="CE28" s="9"/>
      <c r="CF28" s="145"/>
      <c r="CG28" s="145"/>
      <c r="CH28" s="145"/>
      <c r="CI28" s="145"/>
      <c r="CJ28" s="145"/>
      <c r="CK28" s="145"/>
      <c r="CL28" s="146"/>
      <c r="CM28" s="110"/>
      <c r="CN28" s="6"/>
      <c r="CO28" s="6"/>
    </row>
    <row r="29" spans="1:94" ht="9" customHeight="1" x14ac:dyDescent="0.2">
      <c r="A29" s="110">
        <v>24</v>
      </c>
      <c r="B29" s="350" t="str">
        <f>IF(VLOOKUP($A29,$CR$66:$DH$106,COLUMNS($CR$66:$DA$66),FALSE)=NameSpieler1,VLOOKUP($A29,$CR$66:$DH$106,COLUMNS($CR$67:$CS$67),FALSE),"")</f>
        <v/>
      </c>
      <c r="C29" s="351"/>
      <c r="D29" s="351"/>
      <c r="E29" s="351"/>
      <c r="F29" s="351"/>
      <c r="G29" s="351"/>
      <c r="H29" s="351"/>
      <c r="I29" s="12"/>
      <c r="J29" s="12"/>
      <c r="K29" s="12"/>
      <c r="L29" s="12"/>
      <c r="M29" s="13"/>
      <c r="N29" s="13"/>
      <c r="O29" s="14"/>
      <c r="P29" s="129" t="str">
        <f t="shared" ref="P29" si="22">IF(ISERROR(IF(VLOOKUP($B29,$CS$66:$DH$106,COLUMNS($CS$66:$DF$66),FALSE)="ja","!","")),"",IF(VLOOKUP($B29,$CS$66:$DH$106,COLUMNS($CS$66:$DF$66),FALSE)="ja","!",""))</f>
        <v/>
      </c>
      <c r="Q29" s="191"/>
      <c r="R29" s="166"/>
      <c r="S29" s="166"/>
      <c r="T29" s="166"/>
      <c r="U29" s="412">
        <f>IF(VLOOKUP(V29,$CS$66:$DH$106,COLUMNS($CS$66:$DA$66),FALSE)=NameSpieler1,NameSpieler1,IF(VLOOKUP(V29,$CS$66:$DH$106,COLUMNS($CS$66:$DA$66),FALSE)=NameSpieler2,NameSpieler2,VLOOKUP($V29,$CS$66:$CT$106,2,FALSE)))</f>
        <v>2000</v>
      </c>
      <c r="V29" s="448" t="s">
        <v>11</v>
      </c>
      <c r="W29" s="449"/>
      <c r="X29" s="19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312" t="s">
        <v>70</v>
      </c>
      <c r="AP29" s="313"/>
      <c r="AQ29" s="313"/>
      <c r="AR29" s="313"/>
      <c r="AS29" s="313"/>
      <c r="AT29" s="313"/>
      <c r="AU29" s="313"/>
      <c r="AV29" s="313"/>
      <c r="AW29" s="313"/>
      <c r="AX29" s="314"/>
      <c r="AY29" s="20"/>
      <c r="AZ29" s="102"/>
      <c r="BA29" s="279" t="s">
        <v>109</v>
      </c>
      <c r="BB29" s="279"/>
      <c r="BC29" s="279"/>
      <c r="BD29" s="279"/>
      <c r="BE29" s="279"/>
      <c r="BF29" s="279"/>
      <c r="BG29" s="279"/>
      <c r="BH29" s="279"/>
      <c r="BI29" s="279"/>
      <c r="BJ29" s="279"/>
      <c r="BK29" s="279"/>
      <c r="BL29" s="279"/>
      <c r="BM29" s="279"/>
      <c r="BN29" s="279"/>
      <c r="BO29" s="103"/>
      <c r="BP29" s="21"/>
      <c r="BQ29" s="289" t="s">
        <v>26</v>
      </c>
      <c r="BR29" s="290"/>
      <c r="BS29" s="231">
        <f>IF(VLOOKUP(BQ29,$CS$66:$DH$106,COLUMNS($CS$66:$DA$66),FALSE)=NameSpieler1,NameSpieler1,IF(VLOOKUP(BQ29,$CS$66:$DH$106,COLUMNS($CS$66:$DA$66),FALSE)=NameSpieler2,NameSpieler2,VLOOKUP(BQ29,$CS$66:$CT$106,2,FALSE)))</f>
        <v>2000</v>
      </c>
      <c r="BT29" s="156"/>
      <c r="BU29" s="166"/>
      <c r="BV29" s="166"/>
      <c r="BW29" s="251"/>
      <c r="BX29" s="447" t="str">
        <f t="shared" ref="BX29" si="23">IF(ISERROR(IF(VLOOKUP($CF29,$CS$66:$DH$106,COLUMNS($CS$66:$DF$66),FALSE)="ja","!","")),"",IF(VLOOKUP($CF29,$CS$66:$DH$106,COLUMNS($CS$66:$DF$66),FALSE)="ja","!",""))</f>
        <v/>
      </c>
      <c r="BY29" s="10"/>
      <c r="BZ29" s="11"/>
      <c r="CA29" s="11"/>
      <c r="CB29" s="9"/>
      <c r="CC29" s="9"/>
      <c r="CD29" s="9"/>
      <c r="CE29" s="9"/>
      <c r="CF29" s="145" t="str">
        <f>IF(VLOOKUP($CM29,$CR$66:$DH$106,COLUMNS($CR$66:$DA$66),FALSE)=NameSpieler2,VLOOKUP($CM29,$CR$66:$DH$106,COLUMNS($CR$67:$CS$67),FALSE),"")</f>
        <v/>
      </c>
      <c r="CG29" s="145"/>
      <c r="CH29" s="145"/>
      <c r="CI29" s="145"/>
      <c r="CJ29" s="145"/>
      <c r="CK29" s="145"/>
      <c r="CL29" s="146"/>
      <c r="CM29" s="110">
        <v>24</v>
      </c>
      <c r="CN29" s="6"/>
      <c r="CO29" s="6"/>
    </row>
    <row r="30" spans="1:94" ht="9" customHeight="1" thickBot="1" x14ac:dyDescent="0.25">
      <c r="A30" s="110"/>
      <c r="B30" s="350"/>
      <c r="C30" s="351"/>
      <c r="D30" s="351"/>
      <c r="E30" s="351"/>
      <c r="F30" s="351"/>
      <c r="G30" s="351"/>
      <c r="H30" s="351"/>
      <c r="I30" s="12"/>
      <c r="J30" s="12"/>
      <c r="K30" s="12"/>
      <c r="L30" s="12"/>
      <c r="M30" s="13"/>
      <c r="N30" s="13"/>
      <c r="O30" s="14"/>
      <c r="P30" s="129"/>
      <c r="Q30" s="192"/>
      <c r="R30" s="166"/>
      <c r="S30" s="166"/>
      <c r="T30" s="166"/>
      <c r="U30" s="412"/>
      <c r="V30" s="448"/>
      <c r="W30" s="449"/>
      <c r="X30" s="19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  <c r="AO30" s="315"/>
      <c r="AP30" s="316"/>
      <c r="AQ30" s="316"/>
      <c r="AR30" s="316"/>
      <c r="AS30" s="316"/>
      <c r="AT30" s="316"/>
      <c r="AU30" s="316"/>
      <c r="AV30" s="316"/>
      <c r="AW30" s="316"/>
      <c r="AX30" s="317"/>
      <c r="AY30" s="20"/>
      <c r="AZ30" s="97"/>
      <c r="BA30" s="280"/>
      <c r="BB30" s="280"/>
      <c r="BC30" s="280"/>
      <c r="BD30" s="280"/>
      <c r="BE30" s="280"/>
      <c r="BF30" s="280"/>
      <c r="BG30" s="280"/>
      <c r="BH30" s="280"/>
      <c r="BI30" s="280"/>
      <c r="BJ30" s="280"/>
      <c r="BK30" s="280"/>
      <c r="BL30" s="280"/>
      <c r="BM30" s="280"/>
      <c r="BN30" s="280"/>
      <c r="BO30" s="98"/>
      <c r="BP30" s="21"/>
      <c r="BQ30" s="289"/>
      <c r="BR30" s="290"/>
      <c r="BS30" s="231"/>
      <c r="BT30" s="166"/>
      <c r="BU30" s="166"/>
      <c r="BV30" s="166"/>
      <c r="BW30" s="251"/>
      <c r="BX30" s="447"/>
      <c r="BY30" s="10"/>
      <c r="BZ30" s="11"/>
      <c r="CA30" s="11"/>
      <c r="CB30" s="9"/>
      <c r="CC30" s="9"/>
      <c r="CD30" s="9"/>
      <c r="CE30" s="9"/>
      <c r="CF30" s="145"/>
      <c r="CG30" s="145"/>
      <c r="CH30" s="145"/>
      <c r="CI30" s="145"/>
      <c r="CJ30" s="145"/>
      <c r="CK30" s="145"/>
      <c r="CL30" s="146"/>
      <c r="CM30" s="110"/>
      <c r="CN30" s="6"/>
      <c r="CO30" s="6"/>
    </row>
    <row r="31" spans="1:94" ht="9" customHeight="1" x14ac:dyDescent="0.2">
      <c r="A31" s="110">
        <v>25</v>
      </c>
      <c r="B31" s="350" t="str">
        <f>IF(VLOOKUP($A31,$CR$66:$DH$106,COLUMNS($CR$66:$DA$66),FALSE)=NameSpieler1,VLOOKUP($A31,$CR$66:$DH$106,COLUMNS($CR$67:$CS$67),FALSE),"")</f>
        <v/>
      </c>
      <c r="C31" s="351"/>
      <c r="D31" s="351"/>
      <c r="E31" s="351"/>
      <c r="F31" s="351"/>
      <c r="G31" s="351"/>
      <c r="H31" s="351"/>
      <c r="I31" s="12"/>
      <c r="J31" s="12"/>
      <c r="K31" s="12"/>
      <c r="L31" s="12"/>
      <c r="M31" s="13"/>
      <c r="N31" s="13"/>
      <c r="O31" s="14"/>
      <c r="P31" s="129" t="str">
        <f t="shared" ref="P31" si="24">IF(ISERROR(IF(VLOOKUP($B31,$CS$66:$DH$106,COLUMNS($CS$66:$DF$66),FALSE)="ja","!","")),"",IF(VLOOKUP($B31,$CS$66:$DH$106,COLUMNS($CS$66:$DF$66),FALSE)="ja","!",""))</f>
        <v/>
      </c>
      <c r="Q31" s="192"/>
      <c r="R31" s="166"/>
      <c r="S31" s="166"/>
      <c r="T31" s="166"/>
      <c r="U31" s="412"/>
      <c r="V31" s="448"/>
      <c r="W31" s="449"/>
      <c r="X31" s="19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303">
        <v>0</v>
      </c>
      <c r="AP31" s="304"/>
      <c r="AQ31" s="304"/>
      <c r="AR31" s="304"/>
      <c r="AS31" s="304"/>
      <c r="AT31" s="304"/>
      <c r="AU31" s="304"/>
      <c r="AV31" s="304"/>
      <c r="AW31" s="304"/>
      <c r="AX31" s="305"/>
      <c r="AY31" s="20"/>
      <c r="AZ31" s="97"/>
      <c r="BA31" s="96"/>
      <c r="BB31" s="96"/>
      <c r="BC31" s="96"/>
      <c r="BD31" s="96"/>
      <c r="BE31" s="96"/>
      <c r="BF31" s="96"/>
      <c r="BG31" s="96"/>
      <c r="BH31" s="96"/>
      <c r="BI31" s="96"/>
      <c r="BJ31" s="96"/>
      <c r="BK31" s="96"/>
      <c r="BL31" s="96"/>
      <c r="BM31" s="96"/>
      <c r="BN31" s="96"/>
      <c r="BO31" s="98"/>
      <c r="BP31" s="21"/>
      <c r="BQ31" s="289"/>
      <c r="BR31" s="290"/>
      <c r="BS31" s="231"/>
      <c r="BT31" s="166"/>
      <c r="BU31" s="166"/>
      <c r="BV31" s="166"/>
      <c r="BW31" s="251"/>
      <c r="BX31" s="447" t="str">
        <f t="shared" ref="BX31" si="25">IF(ISERROR(IF(VLOOKUP($CF31,$CS$66:$DH$106,COLUMNS($CS$66:$DF$66),FALSE)="ja","!","")),"",IF(VLOOKUP($CF31,$CS$66:$DH$106,COLUMNS($CS$66:$DF$66),FALSE)="ja","!",""))</f>
        <v/>
      </c>
      <c r="BY31" s="10"/>
      <c r="BZ31" s="11"/>
      <c r="CA31" s="11"/>
      <c r="CB31" s="9"/>
      <c r="CC31" s="9"/>
      <c r="CD31" s="9"/>
      <c r="CE31" s="9"/>
      <c r="CF31" s="145" t="str">
        <f>IF(VLOOKUP($CM31,$CR$66:$DH$106,COLUMNS($CR$66:$DA$66),FALSE)=NameSpieler2,VLOOKUP($CM31,$CR$66:$DH$106,COLUMNS($CR$67:$CS$67),FALSE),"")</f>
        <v/>
      </c>
      <c r="CG31" s="145"/>
      <c r="CH31" s="145"/>
      <c r="CI31" s="145"/>
      <c r="CJ31" s="145"/>
      <c r="CK31" s="145"/>
      <c r="CL31" s="146"/>
      <c r="CM31" s="110">
        <v>25</v>
      </c>
      <c r="CN31" s="6"/>
      <c r="CO31" s="6"/>
    </row>
    <row r="32" spans="1:94" ht="9" customHeight="1" x14ac:dyDescent="0.2">
      <c r="A32" s="110"/>
      <c r="B32" s="350"/>
      <c r="C32" s="351"/>
      <c r="D32" s="351"/>
      <c r="E32" s="351"/>
      <c r="F32" s="351"/>
      <c r="G32" s="351"/>
      <c r="H32" s="351"/>
      <c r="I32" s="12"/>
      <c r="J32" s="12"/>
      <c r="K32" s="12"/>
      <c r="L32" s="12"/>
      <c r="M32" s="13"/>
      <c r="N32" s="13"/>
      <c r="O32" s="14"/>
      <c r="P32" s="129"/>
      <c r="Q32" s="192"/>
      <c r="R32" s="166"/>
      <c r="S32" s="166"/>
      <c r="T32" s="166"/>
      <c r="U32" s="412"/>
      <c r="V32" s="448"/>
      <c r="W32" s="449"/>
      <c r="X32" s="19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306"/>
      <c r="AP32" s="307"/>
      <c r="AQ32" s="307"/>
      <c r="AR32" s="307"/>
      <c r="AS32" s="307"/>
      <c r="AT32" s="307"/>
      <c r="AU32" s="307"/>
      <c r="AV32" s="307"/>
      <c r="AW32" s="307"/>
      <c r="AX32" s="308"/>
      <c r="AY32" s="20"/>
      <c r="AZ32" s="97"/>
      <c r="BA32" s="96"/>
      <c r="BB32" s="96"/>
      <c r="BC32" s="96"/>
      <c r="BD32" s="96"/>
      <c r="BE32" s="96"/>
      <c r="BF32" s="96"/>
      <c r="BG32" s="96"/>
      <c r="BH32" s="96"/>
      <c r="BI32" s="96"/>
      <c r="BJ32" s="96"/>
      <c r="BK32" s="96"/>
      <c r="BL32" s="96"/>
      <c r="BM32" s="96"/>
      <c r="BN32" s="96"/>
      <c r="BO32" s="98"/>
      <c r="BP32" s="21"/>
      <c r="BQ32" s="289"/>
      <c r="BR32" s="290"/>
      <c r="BS32" s="231"/>
      <c r="BT32" s="166"/>
      <c r="BU32" s="166"/>
      <c r="BV32" s="166"/>
      <c r="BW32" s="251"/>
      <c r="BX32" s="447"/>
      <c r="BY32" s="10"/>
      <c r="BZ32" s="11"/>
      <c r="CA32" s="11"/>
      <c r="CB32" s="9"/>
      <c r="CC32" s="9"/>
      <c r="CD32" s="9"/>
      <c r="CE32" s="9"/>
      <c r="CF32" s="145"/>
      <c r="CG32" s="145"/>
      <c r="CH32" s="145"/>
      <c r="CI32" s="145"/>
      <c r="CJ32" s="145"/>
      <c r="CK32" s="145"/>
      <c r="CL32" s="146"/>
      <c r="CM32" s="110"/>
      <c r="CN32" s="6"/>
      <c r="CO32" s="6"/>
    </row>
    <row r="33" spans="1:93" ht="9" customHeight="1" x14ac:dyDescent="0.2">
      <c r="A33" s="110">
        <v>27</v>
      </c>
      <c r="B33" s="352" t="str">
        <f>IF(VLOOKUP($A33,$CR$66:$DH$106,COLUMNS($CR$66:$DA$66),FALSE)=NameSpieler1,VLOOKUP($A33,$CR$66:$DH$106,COLUMNS($CR$67:$CS$67),FALSE),"")</f>
        <v/>
      </c>
      <c r="C33" s="353"/>
      <c r="D33" s="353"/>
      <c r="E33" s="353"/>
      <c r="F33" s="353"/>
      <c r="G33" s="353"/>
      <c r="H33" s="353"/>
      <c r="I33" s="12"/>
      <c r="J33" s="12"/>
      <c r="K33" s="12"/>
      <c r="L33" s="12"/>
      <c r="M33" s="13"/>
      <c r="N33" s="13"/>
      <c r="O33" s="14"/>
      <c r="P33" s="129" t="str">
        <f t="shared" ref="P33" si="26">IF(ISERROR(IF(VLOOKUP($B33,$CS$66:$DH$106,COLUMNS($CS$66:$DF$66),FALSE)="ja","!","")),"",IF(VLOOKUP($B33,$CS$66:$DH$106,COLUMNS($CS$66:$DF$66),FALSE)="ja","!",""))</f>
        <v/>
      </c>
      <c r="Q33" s="192"/>
      <c r="R33" s="166"/>
      <c r="S33" s="166"/>
      <c r="T33" s="166"/>
      <c r="U33" s="412"/>
      <c r="V33" s="448"/>
      <c r="W33" s="449"/>
      <c r="X33" s="19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306"/>
      <c r="AP33" s="307"/>
      <c r="AQ33" s="307"/>
      <c r="AR33" s="307"/>
      <c r="AS33" s="307"/>
      <c r="AT33" s="307"/>
      <c r="AU33" s="307"/>
      <c r="AV33" s="307"/>
      <c r="AW33" s="307"/>
      <c r="AX33" s="308"/>
      <c r="AY33" s="20"/>
      <c r="AZ33" s="97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98"/>
      <c r="BP33" s="21"/>
      <c r="BQ33" s="291"/>
      <c r="BR33" s="292"/>
      <c r="BS33" s="232"/>
      <c r="BT33" s="194"/>
      <c r="BU33" s="194"/>
      <c r="BV33" s="194"/>
      <c r="BW33" s="293"/>
      <c r="BX33" s="447" t="str">
        <f t="shared" ref="BX33" si="27">IF(ISERROR(IF(VLOOKUP($CF33,$CS$66:$DH$106,COLUMNS($CS$66:$DF$66),FALSE)="ja","!","")),"",IF(VLOOKUP($CF33,$CS$66:$DH$106,COLUMNS($CS$66:$DF$66),FALSE)="ja","!",""))</f>
        <v/>
      </c>
      <c r="BY33" s="10"/>
      <c r="BZ33" s="11"/>
      <c r="CA33" s="11"/>
      <c r="CB33" s="9"/>
      <c r="CC33" s="9"/>
      <c r="CD33" s="9"/>
      <c r="CE33" s="9"/>
      <c r="CF33" s="147" t="str">
        <f>IF(VLOOKUP($CM33,$CR$66:$DH$106,COLUMNS($CR$66:$DA$66),FALSE)=NameSpieler2,VLOOKUP($CM33,$CR$66:$DH$106,COLUMNS($CR$67:$CS$67),FALSE),"")</f>
        <v/>
      </c>
      <c r="CG33" s="147"/>
      <c r="CH33" s="147"/>
      <c r="CI33" s="147"/>
      <c r="CJ33" s="147"/>
      <c r="CK33" s="147"/>
      <c r="CL33" s="148"/>
      <c r="CM33" s="110">
        <v>27</v>
      </c>
      <c r="CN33" s="6"/>
      <c r="CO33" s="6"/>
    </row>
    <row r="34" spans="1:93" ht="9" customHeight="1" x14ac:dyDescent="0.2">
      <c r="A34" s="110"/>
      <c r="B34" s="352"/>
      <c r="C34" s="353"/>
      <c r="D34" s="353"/>
      <c r="E34" s="353"/>
      <c r="F34" s="353"/>
      <c r="G34" s="353"/>
      <c r="H34" s="353"/>
      <c r="I34" s="12"/>
      <c r="J34" s="12"/>
      <c r="K34" s="12"/>
      <c r="L34" s="12"/>
      <c r="M34" s="13"/>
      <c r="N34" s="13"/>
      <c r="O34" s="14"/>
      <c r="P34" s="129"/>
      <c r="Q34" s="191"/>
      <c r="R34" s="166"/>
      <c r="S34" s="166"/>
      <c r="T34" s="166"/>
      <c r="U34" s="412">
        <f>IF(VLOOKUP(V34,$CS$66:$DH$106,COLUMNS($CS$66:$DA$66),FALSE)=NameSpieler1,NameSpieler1,IF(VLOOKUP(V34,$CS$66:$DH$106,COLUMNS($CS$66:$DA$66),FALSE)=NameSpieler2,NameSpieler2,VLOOKUP($V34,$CS$66:$CT$106,2,FALSE)))</f>
        <v>1600</v>
      </c>
      <c r="V34" s="417" t="s">
        <v>10</v>
      </c>
      <c r="W34" s="418"/>
      <c r="X34" s="19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306"/>
      <c r="AP34" s="307"/>
      <c r="AQ34" s="307"/>
      <c r="AR34" s="307"/>
      <c r="AS34" s="307"/>
      <c r="AT34" s="307"/>
      <c r="AU34" s="307"/>
      <c r="AV34" s="307"/>
      <c r="AW34" s="307"/>
      <c r="AX34" s="308"/>
      <c r="AY34" s="20"/>
      <c r="AZ34" s="97"/>
      <c r="BA34" s="96"/>
      <c r="BB34" s="96"/>
      <c r="BC34" s="96"/>
      <c r="BD34" s="96"/>
      <c r="BE34" s="96"/>
      <c r="BF34" s="96"/>
      <c r="BG34" s="96"/>
      <c r="BH34" s="96"/>
      <c r="BI34" s="96"/>
      <c r="BJ34" s="96"/>
      <c r="BK34" s="96"/>
      <c r="BL34" s="96"/>
      <c r="BM34" s="96"/>
      <c r="BN34" s="96"/>
      <c r="BO34" s="98"/>
      <c r="BP34" s="21"/>
      <c r="BQ34" s="264" t="s">
        <v>66</v>
      </c>
      <c r="BR34" s="265"/>
      <c r="BS34" s="265"/>
      <c r="BT34" s="265"/>
      <c r="BU34" s="265"/>
      <c r="BV34" s="265"/>
      <c r="BW34" s="266"/>
      <c r="BX34" s="447"/>
      <c r="BY34" s="10"/>
      <c r="BZ34" s="11"/>
      <c r="CA34" s="11"/>
      <c r="CB34" s="9"/>
      <c r="CC34" s="9"/>
      <c r="CD34" s="9"/>
      <c r="CE34" s="9"/>
      <c r="CF34" s="147"/>
      <c r="CG34" s="147"/>
      <c r="CH34" s="147"/>
      <c r="CI34" s="147"/>
      <c r="CJ34" s="147"/>
      <c r="CK34" s="147"/>
      <c r="CL34" s="148"/>
      <c r="CM34" s="110"/>
      <c r="CN34" s="6"/>
      <c r="CO34" s="6"/>
    </row>
    <row r="35" spans="1:93" ht="9" customHeight="1" x14ac:dyDescent="0.2">
      <c r="A35" s="110">
        <v>28</v>
      </c>
      <c r="B35" s="352" t="str">
        <f>IF(VLOOKUP($A35,$CR$66:$DH$106,COLUMNS($CR$66:$DA$66),FALSE)=NameSpieler1,VLOOKUP($A35,$CR$66:$DH$106,COLUMNS($CR$67:$CS$67),FALSE),"")</f>
        <v/>
      </c>
      <c r="C35" s="353"/>
      <c r="D35" s="353"/>
      <c r="E35" s="353"/>
      <c r="F35" s="353"/>
      <c r="G35" s="353"/>
      <c r="H35" s="353"/>
      <c r="I35" s="12"/>
      <c r="J35" s="12"/>
      <c r="K35" s="12"/>
      <c r="L35" s="12"/>
      <c r="M35" s="13"/>
      <c r="N35" s="13"/>
      <c r="O35" s="14"/>
      <c r="P35" s="129" t="str">
        <f t="shared" ref="P35" si="28">IF(ISERROR(IF(VLOOKUP($B35,$CS$66:$DH$106,COLUMNS($CS$66:$DF$66),FALSE)="ja","!","")),"",IF(VLOOKUP($B35,$CS$66:$DH$106,COLUMNS($CS$66:$DF$66),FALSE)="ja","!",""))</f>
        <v/>
      </c>
      <c r="Q35" s="192"/>
      <c r="R35" s="166"/>
      <c r="S35" s="166"/>
      <c r="T35" s="166"/>
      <c r="U35" s="412"/>
      <c r="V35" s="417"/>
      <c r="W35" s="418"/>
      <c r="X35" s="19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306"/>
      <c r="AP35" s="307"/>
      <c r="AQ35" s="307"/>
      <c r="AR35" s="307"/>
      <c r="AS35" s="307"/>
      <c r="AT35" s="307"/>
      <c r="AU35" s="307"/>
      <c r="AV35" s="307"/>
      <c r="AW35" s="307"/>
      <c r="AX35" s="308"/>
      <c r="AY35" s="20"/>
      <c r="AZ35" s="97"/>
      <c r="BA35" s="96"/>
      <c r="BB35" s="96"/>
      <c r="BC35" s="96"/>
      <c r="BD35" s="96"/>
      <c r="BE35" s="96"/>
      <c r="BF35" s="96"/>
      <c r="BG35" s="96"/>
      <c r="BH35" s="96"/>
      <c r="BI35" s="96"/>
      <c r="BJ35" s="96"/>
      <c r="BK35" s="96"/>
      <c r="BL35" s="96"/>
      <c r="BM35" s="96"/>
      <c r="BN35" s="96"/>
      <c r="BO35" s="98"/>
      <c r="BP35" s="21"/>
      <c r="BQ35" s="267"/>
      <c r="BR35" s="265"/>
      <c r="BS35" s="265"/>
      <c r="BT35" s="265"/>
      <c r="BU35" s="265"/>
      <c r="BV35" s="265"/>
      <c r="BW35" s="266"/>
      <c r="BX35" s="447" t="str">
        <f t="shared" ref="BX35" si="29">IF(ISERROR(IF(VLOOKUP($CF35,$CS$66:$DH$106,COLUMNS($CS$66:$DF$66),FALSE)="ja","!","")),"",IF(VLOOKUP($CF35,$CS$66:$DH$106,COLUMNS($CS$66:$DF$66),FALSE)="ja","!",""))</f>
        <v/>
      </c>
      <c r="BY35" s="10"/>
      <c r="BZ35" s="11"/>
      <c r="CA35" s="11"/>
      <c r="CB35" s="9"/>
      <c r="CC35" s="9"/>
      <c r="CD35" s="9"/>
      <c r="CE35" s="9"/>
      <c r="CF35" s="147" t="str">
        <f>IF(VLOOKUP($CM35,$CR$66:$DH$106,COLUMNS($CR$66:$DA$66),FALSE)=NameSpieler2,VLOOKUP($CM35,$CR$66:$DH$106,COLUMNS($CR$67:$CS$67),FALSE),"")</f>
        <v/>
      </c>
      <c r="CG35" s="147"/>
      <c r="CH35" s="147"/>
      <c r="CI35" s="147"/>
      <c r="CJ35" s="147"/>
      <c r="CK35" s="147"/>
      <c r="CL35" s="148"/>
      <c r="CM35" s="110">
        <v>28</v>
      </c>
      <c r="CN35" s="6"/>
      <c r="CO35" s="6"/>
    </row>
    <row r="36" spans="1:93" ht="9" customHeight="1" x14ac:dyDescent="0.2">
      <c r="A36" s="110"/>
      <c r="B36" s="352"/>
      <c r="C36" s="353"/>
      <c r="D36" s="353"/>
      <c r="E36" s="353"/>
      <c r="F36" s="353"/>
      <c r="G36" s="353"/>
      <c r="H36" s="353"/>
      <c r="I36" s="12"/>
      <c r="J36" s="12"/>
      <c r="K36" s="12"/>
      <c r="L36" s="12"/>
      <c r="M36" s="13"/>
      <c r="N36" s="13"/>
      <c r="O36" s="14"/>
      <c r="P36" s="129"/>
      <c r="Q36" s="192"/>
      <c r="R36" s="166"/>
      <c r="S36" s="166"/>
      <c r="T36" s="166"/>
      <c r="U36" s="412"/>
      <c r="V36" s="417"/>
      <c r="W36" s="418"/>
      <c r="X36" s="19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  <c r="AL36" s="20"/>
      <c r="AM36" s="20"/>
      <c r="AN36" s="20"/>
      <c r="AO36" s="306"/>
      <c r="AP36" s="307"/>
      <c r="AQ36" s="307"/>
      <c r="AR36" s="307"/>
      <c r="AS36" s="307"/>
      <c r="AT36" s="307"/>
      <c r="AU36" s="307"/>
      <c r="AV36" s="307"/>
      <c r="AW36" s="307"/>
      <c r="AX36" s="308"/>
      <c r="AY36" s="20"/>
      <c r="AZ36" s="97"/>
      <c r="BA36" s="96"/>
      <c r="BB36" s="96"/>
      <c r="BC36" s="96"/>
      <c r="BD36" s="96"/>
      <c r="BE36" s="96"/>
      <c r="BF36" s="96"/>
      <c r="BG36" s="96"/>
      <c r="BH36" s="96"/>
      <c r="BI36" s="96"/>
      <c r="BJ36" s="96"/>
      <c r="BK36" s="96"/>
      <c r="BL36" s="96"/>
      <c r="BM36" s="96"/>
      <c r="BN36" s="96"/>
      <c r="BO36" s="98"/>
      <c r="BP36" s="21"/>
      <c r="BQ36" s="267"/>
      <c r="BR36" s="265"/>
      <c r="BS36" s="265"/>
      <c r="BT36" s="265"/>
      <c r="BU36" s="265"/>
      <c r="BV36" s="265"/>
      <c r="BW36" s="266"/>
      <c r="BX36" s="447"/>
      <c r="BY36" s="10"/>
      <c r="BZ36" s="11"/>
      <c r="CA36" s="11"/>
      <c r="CB36" s="9"/>
      <c r="CC36" s="9"/>
      <c r="CD36" s="9"/>
      <c r="CE36" s="9"/>
      <c r="CF36" s="147"/>
      <c r="CG36" s="147"/>
      <c r="CH36" s="147"/>
      <c r="CI36" s="147"/>
      <c r="CJ36" s="147"/>
      <c r="CK36" s="147"/>
      <c r="CL36" s="148"/>
      <c r="CM36" s="110"/>
      <c r="CN36" s="6"/>
      <c r="CO36" s="6"/>
    </row>
    <row r="37" spans="1:93" ht="9" customHeight="1" x14ac:dyDescent="0.2">
      <c r="A37" s="110">
        <v>30</v>
      </c>
      <c r="B37" s="352" t="str">
        <f>IF(VLOOKUP($A37,$CR$66:$DH$106,COLUMNS($CR$66:$DA$66),FALSE)=NameSpieler1,VLOOKUP($A37,$CR$66:$DH$106,COLUMNS($CR$67:$CS$67),FALSE),"")</f>
        <v/>
      </c>
      <c r="C37" s="353"/>
      <c r="D37" s="353"/>
      <c r="E37" s="353"/>
      <c r="F37" s="353"/>
      <c r="G37" s="353"/>
      <c r="H37" s="353"/>
      <c r="I37" s="12"/>
      <c r="J37" s="12"/>
      <c r="K37" s="12"/>
      <c r="L37" s="12"/>
      <c r="M37" s="13"/>
      <c r="N37" s="13"/>
      <c r="O37" s="14"/>
      <c r="P37" s="129" t="str">
        <f t="shared" ref="P37" si="30">IF(ISERROR(IF(VLOOKUP($B37,$CS$66:$DH$106,COLUMNS($CS$66:$DF$66),FALSE)="ja","!","")),"",IF(VLOOKUP($B37,$CS$66:$DH$106,COLUMNS($CS$66:$DF$66),FALSE)="ja","!",""))</f>
        <v/>
      </c>
      <c r="Q37" s="192"/>
      <c r="R37" s="166"/>
      <c r="S37" s="166"/>
      <c r="T37" s="166"/>
      <c r="U37" s="412"/>
      <c r="V37" s="417"/>
      <c r="W37" s="418"/>
      <c r="X37" s="19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306"/>
      <c r="AP37" s="307"/>
      <c r="AQ37" s="307"/>
      <c r="AR37" s="307"/>
      <c r="AS37" s="307"/>
      <c r="AT37" s="307"/>
      <c r="AU37" s="307"/>
      <c r="AV37" s="307"/>
      <c r="AW37" s="307"/>
      <c r="AX37" s="308"/>
      <c r="AY37" s="20"/>
      <c r="AZ37" s="97"/>
      <c r="BA37" s="96"/>
      <c r="BB37" s="96"/>
      <c r="BC37" s="96"/>
      <c r="BD37" s="96"/>
      <c r="BE37" s="96"/>
      <c r="BF37" s="96"/>
      <c r="BG37" s="96"/>
      <c r="BH37" s="96"/>
      <c r="BI37" s="96"/>
      <c r="BJ37" s="96"/>
      <c r="BK37" s="96"/>
      <c r="BL37" s="96"/>
      <c r="BM37" s="96"/>
      <c r="BN37" s="96"/>
      <c r="BO37" s="98"/>
      <c r="BP37" s="21"/>
      <c r="BQ37" s="267"/>
      <c r="BR37" s="265"/>
      <c r="BS37" s="265"/>
      <c r="BT37" s="265"/>
      <c r="BU37" s="265"/>
      <c r="BV37" s="265"/>
      <c r="BW37" s="266"/>
      <c r="BX37" s="447" t="str">
        <f t="shared" ref="BX37" si="31">IF(ISERROR(IF(VLOOKUP($CF37,$CS$66:$DH$106,COLUMNS($CS$66:$DF$66),FALSE)="ja","!","")),"",IF(VLOOKUP($CF37,$CS$66:$DH$106,COLUMNS($CS$66:$DF$66),FALSE)="ja","!",""))</f>
        <v/>
      </c>
      <c r="BY37" s="10"/>
      <c r="BZ37" s="11"/>
      <c r="CA37" s="11"/>
      <c r="CB37" s="9"/>
      <c r="CC37" s="9"/>
      <c r="CD37" s="9"/>
      <c r="CE37" s="9"/>
      <c r="CF37" s="147" t="str">
        <f>IF(VLOOKUP($CM37,$CR$66:$DH$106,COLUMNS($CR$66:$DA$66),FALSE)=NameSpieler2,VLOOKUP($CM37,$CR$66:$DH$106,COLUMNS($CR$67:$CS$67),FALSE),"")</f>
        <v/>
      </c>
      <c r="CG37" s="147"/>
      <c r="CH37" s="147"/>
      <c r="CI37" s="147"/>
      <c r="CJ37" s="147"/>
      <c r="CK37" s="147"/>
      <c r="CL37" s="148"/>
      <c r="CM37" s="110">
        <v>30</v>
      </c>
      <c r="CN37" s="6"/>
      <c r="CO37" s="6"/>
    </row>
    <row r="38" spans="1:93" ht="9" customHeight="1" x14ac:dyDescent="0.2">
      <c r="A38" s="110"/>
      <c r="B38" s="352"/>
      <c r="C38" s="353"/>
      <c r="D38" s="353"/>
      <c r="E38" s="353"/>
      <c r="F38" s="353"/>
      <c r="G38" s="353"/>
      <c r="H38" s="353"/>
      <c r="I38" s="12"/>
      <c r="J38" s="12"/>
      <c r="K38" s="12"/>
      <c r="L38" s="12"/>
      <c r="M38" s="13"/>
      <c r="N38" s="13"/>
      <c r="O38" s="14"/>
      <c r="P38" s="129"/>
      <c r="Q38" s="192"/>
      <c r="R38" s="166"/>
      <c r="S38" s="166"/>
      <c r="T38" s="166"/>
      <c r="U38" s="412"/>
      <c r="V38" s="417"/>
      <c r="W38" s="418"/>
      <c r="X38" s="19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306"/>
      <c r="AP38" s="307"/>
      <c r="AQ38" s="307"/>
      <c r="AR38" s="307"/>
      <c r="AS38" s="307"/>
      <c r="AT38" s="307"/>
      <c r="AU38" s="307"/>
      <c r="AV38" s="307"/>
      <c r="AW38" s="307"/>
      <c r="AX38" s="308"/>
      <c r="AY38" s="20"/>
      <c r="AZ38" s="97"/>
      <c r="BA38" s="96"/>
      <c r="BB38" s="96"/>
      <c r="BC38" s="96"/>
      <c r="BD38" s="96"/>
      <c r="BE38" s="96"/>
      <c r="BF38" s="96"/>
      <c r="BG38" s="96"/>
      <c r="BH38" s="96"/>
      <c r="BI38" s="96"/>
      <c r="BJ38" s="96"/>
      <c r="BK38" s="96"/>
      <c r="BL38" s="96"/>
      <c r="BM38" s="96"/>
      <c r="BN38" s="96"/>
      <c r="BO38" s="98"/>
      <c r="BP38" s="21"/>
      <c r="BQ38" s="267"/>
      <c r="BR38" s="265"/>
      <c r="BS38" s="265"/>
      <c r="BT38" s="265"/>
      <c r="BU38" s="265"/>
      <c r="BV38" s="265"/>
      <c r="BW38" s="266"/>
      <c r="BX38" s="447"/>
      <c r="BY38" s="10"/>
      <c r="BZ38" s="11"/>
      <c r="CA38" s="11"/>
      <c r="CB38" s="9"/>
      <c r="CC38" s="9"/>
      <c r="CD38" s="9"/>
      <c r="CE38" s="9"/>
      <c r="CF38" s="147"/>
      <c r="CG38" s="147"/>
      <c r="CH38" s="147"/>
      <c r="CI38" s="147"/>
      <c r="CJ38" s="147"/>
      <c r="CK38" s="147"/>
      <c r="CL38" s="148"/>
      <c r="CM38" s="110"/>
      <c r="CN38" s="6"/>
      <c r="CO38" s="6"/>
    </row>
    <row r="39" spans="1:93" ht="9" customHeight="1" x14ac:dyDescent="0.2">
      <c r="A39" s="110">
        <v>32</v>
      </c>
      <c r="B39" s="354" t="str">
        <f>IF(VLOOKUP($A39,$CR$66:$DH$106,COLUMNS($CR$66:$DA$66),FALSE)=NameSpieler1,VLOOKUP($A39,$CR$66:$DH$106,COLUMNS($CR$67:$CS$67),FALSE),"")</f>
        <v/>
      </c>
      <c r="C39" s="355"/>
      <c r="D39" s="355"/>
      <c r="E39" s="355"/>
      <c r="F39" s="355"/>
      <c r="G39" s="355"/>
      <c r="H39" s="355"/>
      <c r="I39" s="12"/>
      <c r="J39" s="12"/>
      <c r="K39" s="12"/>
      <c r="L39" s="12"/>
      <c r="M39" s="13"/>
      <c r="N39" s="13"/>
      <c r="O39" s="14"/>
      <c r="P39" s="129" t="str">
        <f t="shared" ref="P39" si="32">IF(ISERROR(IF(VLOOKUP($B39,$CS$66:$DH$106,COLUMNS($CS$66:$DF$66),FALSE)="ja","!","")),"",IF(VLOOKUP($B39,$CS$66:$DH$106,COLUMNS($CS$66:$DF$66),FALSE)="ja","!",""))</f>
        <v/>
      </c>
      <c r="Q39" s="191"/>
      <c r="R39" s="166"/>
      <c r="S39" s="166"/>
      <c r="T39" s="166"/>
      <c r="U39" s="412">
        <f>IF(VLOOKUP(V39,$CS$66:$DH$106,COLUMNS($CS$66:$DA$66),FALSE)=NameSpieler1,NameSpieler1,IF(VLOOKUP(V39,$CS$66:$DH$106,COLUMNS($CS$66:$DA$66),FALSE)=NameSpieler2,NameSpieler2,VLOOKUP($V39,$CS$66:$CT$106,2,FALSE)))</f>
        <v>1400</v>
      </c>
      <c r="V39" s="417" t="s">
        <v>9</v>
      </c>
      <c r="W39" s="418"/>
      <c r="X39" s="19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306"/>
      <c r="AP39" s="307"/>
      <c r="AQ39" s="307"/>
      <c r="AR39" s="307"/>
      <c r="AS39" s="307"/>
      <c r="AT39" s="307"/>
      <c r="AU39" s="307"/>
      <c r="AV39" s="307"/>
      <c r="AW39" s="307"/>
      <c r="AX39" s="308"/>
      <c r="AY39" s="20"/>
      <c r="AZ39" s="97"/>
      <c r="BA39" s="96"/>
      <c r="BB39" s="96"/>
      <c r="BC39" s="96"/>
      <c r="BD39" s="96"/>
      <c r="BE39" s="96"/>
      <c r="BF39" s="96"/>
      <c r="BG39" s="96"/>
      <c r="BH39" s="96"/>
      <c r="BI39" s="96"/>
      <c r="BJ39" s="96"/>
      <c r="BK39" s="96"/>
      <c r="BL39" s="96"/>
      <c r="BM39" s="96"/>
      <c r="BN39" s="96"/>
      <c r="BO39" s="98"/>
      <c r="BP39" s="21"/>
      <c r="BQ39" s="329" t="s">
        <v>24</v>
      </c>
      <c r="BR39" s="330"/>
      <c r="BS39" s="285">
        <f>IF(VLOOKUP(BQ39,$CS$66:$DH$106,COLUMNS($CS$66:$DA$66),FALSE)=NameSpieler1,NameSpieler1,IF(VLOOKUP(BQ39,$CS$66:$DH$106,COLUMNS($CS$66:$DA$66),FALSE)=NameSpieler2,NameSpieler2,VLOOKUP(BQ39,$CS$66:$CT$106,2,FALSE)))</f>
        <v>3500</v>
      </c>
      <c r="BT39" s="286"/>
      <c r="BU39" s="287"/>
      <c r="BV39" s="287"/>
      <c r="BW39" s="288"/>
      <c r="BX39" s="447" t="str">
        <f t="shared" ref="BX39" si="33">IF(ISERROR(IF(VLOOKUP($CF39,$CS$66:$DH$106,COLUMNS($CS$66:$DF$66),FALSE)="ja","!","")),"",IF(VLOOKUP($CF39,$CS$66:$DH$106,COLUMNS($CS$66:$DF$66),FALSE)="ja","!",""))</f>
        <v/>
      </c>
      <c r="BY39" s="10"/>
      <c r="BZ39" s="11"/>
      <c r="CA39" s="11"/>
      <c r="CB39" s="9"/>
      <c r="CC39" s="9"/>
      <c r="CD39" s="9"/>
      <c r="CE39" s="9"/>
      <c r="CF39" s="149" t="str">
        <f>IF(VLOOKUP($CM39,$CR$66:$DH$106,COLUMNS($CR$66:$DA$66),FALSE)=NameSpieler2,VLOOKUP($CM39,$CR$66:$DH$106,COLUMNS($CR$67:$CS$67),FALSE),"")</f>
        <v/>
      </c>
      <c r="CG39" s="149"/>
      <c r="CH39" s="149"/>
      <c r="CI39" s="149"/>
      <c r="CJ39" s="149"/>
      <c r="CK39" s="149"/>
      <c r="CL39" s="150"/>
      <c r="CM39" s="110">
        <v>32</v>
      </c>
      <c r="CN39" s="6"/>
      <c r="CO39" s="6"/>
    </row>
    <row r="40" spans="1:93" ht="9" customHeight="1" thickBot="1" x14ac:dyDescent="0.25">
      <c r="A40" s="110"/>
      <c r="B40" s="354"/>
      <c r="C40" s="355"/>
      <c r="D40" s="355"/>
      <c r="E40" s="355"/>
      <c r="F40" s="355"/>
      <c r="G40" s="355"/>
      <c r="H40" s="355"/>
      <c r="I40" s="12"/>
      <c r="J40" s="12"/>
      <c r="K40" s="12"/>
      <c r="L40" s="12"/>
      <c r="M40" s="13"/>
      <c r="N40" s="13"/>
      <c r="O40" s="14"/>
      <c r="P40" s="129"/>
      <c r="Q40" s="192"/>
      <c r="R40" s="166"/>
      <c r="S40" s="166"/>
      <c r="T40" s="166"/>
      <c r="U40" s="412"/>
      <c r="V40" s="417"/>
      <c r="W40" s="418"/>
      <c r="X40" s="19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309"/>
      <c r="AP40" s="310"/>
      <c r="AQ40" s="310"/>
      <c r="AR40" s="310"/>
      <c r="AS40" s="310"/>
      <c r="AT40" s="310"/>
      <c r="AU40" s="310"/>
      <c r="AV40" s="310"/>
      <c r="AW40" s="310"/>
      <c r="AX40" s="311"/>
      <c r="AY40" s="20"/>
      <c r="AZ40" s="99"/>
      <c r="BA40" s="100"/>
      <c r="BB40" s="100"/>
      <c r="BC40" s="100"/>
      <c r="BD40" s="100"/>
      <c r="BE40" s="100"/>
      <c r="BF40" s="100"/>
      <c r="BG40" s="100"/>
      <c r="BH40" s="100"/>
      <c r="BI40" s="100"/>
      <c r="BJ40" s="100"/>
      <c r="BK40" s="100"/>
      <c r="BL40" s="100"/>
      <c r="BM40" s="100"/>
      <c r="BN40" s="100"/>
      <c r="BO40" s="101"/>
      <c r="BP40" s="21"/>
      <c r="BQ40" s="318"/>
      <c r="BR40" s="319"/>
      <c r="BS40" s="231"/>
      <c r="BT40" s="166"/>
      <c r="BU40" s="166"/>
      <c r="BV40" s="166"/>
      <c r="BW40" s="251"/>
      <c r="BX40" s="447"/>
      <c r="BY40" s="10"/>
      <c r="BZ40" s="11"/>
      <c r="CA40" s="11"/>
      <c r="CB40" s="9"/>
      <c r="CC40" s="9"/>
      <c r="CD40" s="9"/>
      <c r="CE40" s="9"/>
      <c r="CF40" s="149"/>
      <c r="CG40" s="149"/>
      <c r="CH40" s="149"/>
      <c r="CI40" s="149"/>
      <c r="CJ40" s="149"/>
      <c r="CK40" s="149"/>
      <c r="CL40" s="150"/>
      <c r="CM40" s="110"/>
      <c r="CN40" s="6"/>
      <c r="CO40" s="6"/>
    </row>
    <row r="41" spans="1:93" ht="9" customHeight="1" x14ac:dyDescent="0.2">
      <c r="A41" s="110">
        <v>33</v>
      </c>
      <c r="B41" s="354" t="str">
        <f>IF(VLOOKUP($A41,$CR$66:$DH$106,COLUMNS($CR$66:$DA$66),FALSE)=NameSpieler1,VLOOKUP($A41,$CR$66:$DH$106,COLUMNS($CR$67:$CS$67),FALSE),"")</f>
        <v/>
      </c>
      <c r="C41" s="355"/>
      <c r="D41" s="355"/>
      <c r="E41" s="355"/>
      <c r="F41" s="355"/>
      <c r="G41" s="355"/>
      <c r="H41" s="355"/>
      <c r="I41" s="12"/>
      <c r="J41" s="12"/>
      <c r="K41" s="12"/>
      <c r="L41" s="12"/>
      <c r="M41" s="13"/>
      <c r="N41" s="13"/>
      <c r="O41" s="14"/>
      <c r="P41" s="129" t="str">
        <f t="shared" ref="P41" si="34">IF(ISERROR(IF(VLOOKUP($B41,$CS$66:$DH$106,COLUMNS($CS$66:$DF$66),FALSE)="ja","!","")),"",IF(VLOOKUP($B41,$CS$66:$DH$106,COLUMNS($CS$66:$DF$66),FALSE)="ja","!",""))</f>
        <v/>
      </c>
      <c r="Q41" s="192"/>
      <c r="R41" s="166"/>
      <c r="S41" s="166"/>
      <c r="T41" s="166"/>
      <c r="U41" s="412"/>
      <c r="V41" s="417"/>
      <c r="W41" s="418"/>
      <c r="X41" s="19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  <c r="BO41" s="20"/>
      <c r="BP41" s="21"/>
      <c r="BQ41" s="318"/>
      <c r="BR41" s="319"/>
      <c r="BS41" s="231"/>
      <c r="BT41" s="166"/>
      <c r="BU41" s="166"/>
      <c r="BV41" s="166"/>
      <c r="BW41" s="251"/>
      <c r="BX41" s="447" t="str">
        <f t="shared" ref="BX41" si="35">IF(ISERROR(IF(VLOOKUP($CF41,$CS$66:$DH$106,COLUMNS($CS$66:$DF$66),FALSE)="ja","!","")),"",IF(VLOOKUP($CF41,$CS$66:$DH$106,COLUMNS($CS$66:$DF$66),FALSE)="ja","!",""))</f>
        <v/>
      </c>
      <c r="BY41" s="10"/>
      <c r="BZ41" s="11"/>
      <c r="CA41" s="11"/>
      <c r="CB41" s="9"/>
      <c r="CC41" s="9"/>
      <c r="CD41" s="9"/>
      <c r="CE41" s="9"/>
      <c r="CF41" s="149" t="str">
        <f>IF(VLOOKUP($CM41,$CR$66:$DH$106,COLUMNS($CR$66:$DA$66),FALSE)=NameSpieler2,VLOOKUP($CM41,$CR$66:$DH$106,COLUMNS($CR$67:$CS$67),FALSE),"")</f>
        <v/>
      </c>
      <c r="CG41" s="149"/>
      <c r="CH41" s="149"/>
      <c r="CI41" s="149"/>
      <c r="CJ41" s="149"/>
      <c r="CK41" s="149"/>
      <c r="CL41" s="150"/>
      <c r="CM41" s="110">
        <v>33</v>
      </c>
      <c r="CN41" s="6"/>
      <c r="CO41" s="6"/>
    </row>
    <row r="42" spans="1:93" ht="9" customHeight="1" x14ac:dyDescent="0.2">
      <c r="A42" s="110"/>
      <c r="B42" s="354"/>
      <c r="C42" s="355"/>
      <c r="D42" s="355"/>
      <c r="E42" s="355"/>
      <c r="F42" s="355"/>
      <c r="G42" s="355"/>
      <c r="H42" s="355"/>
      <c r="I42" s="12"/>
      <c r="J42" s="12"/>
      <c r="K42" s="12"/>
      <c r="L42" s="12"/>
      <c r="M42" s="13"/>
      <c r="N42" s="13"/>
      <c r="O42" s="14"/>
      <c r="P42" s="129"/>
      <c r="Q42" s="192"/>
      <c r="R42" s="166"/>
      <c r="S42" s="166"/>
      <c r="T42" s="166"/>
      <c r="U42" s="412"/>
      <c r="V42" s="417"/>
      <c r="W42" s="418"/>
      <c r="X42" s="19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  <c r="BO42" s="20"/>
      <c r="BP42" s="21"/>
      <c r="BQ42" s="318"/>
      <c r="BR42" s="319"/>
      <c r="BS42" s="231"/>
      <c r="BT42" s="166"/>
      <c r="BU42" s="166"/>
      <c r="BV42" s="166"/>
      <c r="BW42" s="251"/>
      <c r="BX42" s="447"/>
      <c r="BY42" s="10"/>
      <c r="BZ42" s="11"/>
      <c r="CA42" s="11"/>
      <c r="CB42" s="9"/>
      <c r="CC42" s="9"/>
      <c r="CD42" s="9"/>
      <c r="CE42" s="9"/>
      <c r="CF42" s="149"/>
      <c r="CG42" s="149"/>
      <c r="CH42" s="149"/>
      <c r="CI42" s="149"/>
      <c r="CJ42" s="149"/>
      <c r="CK42" s="149"/>
      <c r="CL42" s="150"/>
      <c r="CM42" s="110"/>
      <c r="CN42" s="6"/>
      <c r="CO42" s="6"/>
    </row>
    <row r="43" spans="1:93" ht="9" customHeight="1" x14ac:dyDescent="0.2">
      <c r="A43" s="110">
        <v>35</v>
      </c>
      <c r="B43" s="354" t="str">
        <f>IF(VLOOKUP($A43,$CR$66:$DH$106,COLUMNS($CR$66:$DA$66),FALSE)=NameSpieler1,VLOOKUP($A43,$CR$66:$DH$106,COLUMNS($CR$67:$CS$67),FALSE),"")</f>
        <v/>
      </c>
      <c r="C43" s="355"/>
      <c r="D43" s="355"/>
      <c r="E43" s="355"/>
      <c r="F43" s="355"/>
      <c r="G43" s="355"/>
      <c r="H43" s="355"/>
      <c r="I43" s="12"/>
      <c r="J43" s="12"/>
      <c r="K43" s="12"/>
      <c r="L43" s="12"/>
      <c r="M43" s="13"/>
      <c r="N43" s="13"/>
      <c r="O43" s="14"/>
      <c r="P43" s="129" t="str">
        <f t="shared" ref="P43" si="36">IF(ISERROR(IF(VLOOKUP($B43,$CS$66:$DH$106,COLUMNS($CS$66:$DF$66),FALSE)="ja","!","")),"",IF(VLOOKUP($B43,$CS$66:$DH$106,COLUMNS($CS$66:$DF$66),FALSE)="ja","!",""))</f>
        <v/>
      </c>
      <c r="Q43" s="192"/>
      <c r="R43" s="166"/>
      <c r="S43" s="166"/>
      <c r="T43" s="166"/>
      <c r="U43" s="412"/>
      <c r="V43" s="417"/>
      <c r="W43" s="418"/>
      <c r="X43" s="19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  <c r="BO43" s="20"/>
      <c r="BP43" s="21"/>
      <c r="BQ43" s="318"/>
      <c r="BR43" s="319"/>
      <c r="BS43" s="231"/>
      <c r="BT43" s="166"/>
      <c r="BU43" s="166"/>
      <c r="BV43" s="166"/>
      <c r="BW43" s="251"/>
      <c r="BX43" s="447" t="str">
        <f t="shared" ref="BX43" si="37">IF(ISERROR(IF(VLOOKUP($CF43,$CS$66:$DH$106,COLUMNS($CS$66:$DF$66),FALSE)="ja","!","")),"",IF(VLOOKUP($CF43,$CS$66:$DH$106,COLUMNS($CS$66:$DF$66),FALSE)="ja","!",""))</f>
        <v/>
      </c>
      <c r="BY43" s="10"/>
      <c r="BZ43" s="11"/>
      <c r="CA43" s="11"/>
      <c r="CB43" s="9"/>
      <c r="CC43" s="9"/>
      <c r="CD43" s="9"/>
      <c r="CE43" s="9"/>
      <c r="CF43" s="149" t="str">
        <f>IF(VLOOKUP($CM43,$CR$66:$DH$106,COLUMNS($CR$66:$DA$66),FALSE)=NameSpieler2,VLOOKUP($CM43,$CR$66:$DH$106,COLUMNS($CR$67:$CS$67),FALSE),"")</f>
        <v/>
      </c>
      <c r="CG43" s="149"/>
      <c r="CH43" s="149"/>
      <c r="CI43" s="149"/>
      <c r="CJ43" s="149"/>
      <c r="CK43" s="149"/>
      <c r="CL43" s="150"/>
      <c r="CM43" s="110">
        <v>35</v>
      </c>
      <c r="CN43" s="6"/>
      <c r="CO43" s="6"/>
    </row>
    <row r="44" spans="1:93" ht="9" customHeight="1" x14ac:dyDescent="0.2">
      <c r="A44" s="110"/>
      <c r="B44" s="354"/>
      <c r="C44" s="355"/>
      <c r="D44" s="355"/>
      <c r="E44" s="355"/>
      <c r="F44" s="355"/>
      <c r="G44" s="355"/>
      <c r="H44" s="355"/>
      <c r="I44" s="12"/>
      <c r="J44" s="12"/>
      <c r="K44" s="12"/>
      <c r="L44" s="12"/>
      <c r="M44" s="13"/>
      <c r="N44" s="13"/>
      <c r="O44" s="14"/>
      <c r="P44" s="129"/>
      <c r="Q44" s="191"/>
      <c r="R44" s="156"/>
      <c r="S44" s="156"/>
      <c r="T44" s="156"/>
      <c r="U44" s="412">
        <f>IF(VLOOKUP(V44,$CS$66:$DH$106,COLUMNS($CS$66:$DA$66),FALSE)=NameSpieler1,NameSpieler1,IF(VLOOKUP(V44,$CS$66:$DH$106,COLUMNS($CS$66:$DA$66),FALSE)=NameSpieler2,NameSpieler2,VLOOKUP($V44,$CS$66:$CT$106,2,FALSE)))</f>
        <v>1500</v>
      </c>
      <c r="V44" s="413" t="s">
        <v>27</v>
      </c>
      <c r="W44" s="414"/>
      <c r="X44" s="19"/>
      <c r="Y44" s="20"/>
      <c r="Z44" s="20"/>
      <c r="AA44" s="20"/>
      <c r="AB44" s="20"/>
      <c r="AC44" s="20"/>
      <c r="AD44" s="20"/>
      <c r="AE44" s="20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20"/>
      <c r="BK44" s="20"/>
      <c r="BL44" s="20"/>
      <c r="BM44" s="20"/>
      <c r="BN44" s="20"/>
      <c r="BO44" s="20"/>
      <c r="BP44" s="21"/>
      <c r="BQ44" s="268" t="s">
        <v>67</v>
      </c>
      <c r="BR44" s="265"/>
      <c r="BS44" s="265"/>
      <c r="BT44" s="265"/>
      <c r="BU44" s="265"/>
      <c r="BV44" s="265"/>
      <c r="BW44" s="266"/>
      <c r="BX44" s="447"/>
      <c r="BY44" s="10"/>
      <c r="BZ44" s="11"/>
      <c r="CA44" s="11"/>
      <c r="CB44" s="9"/>
      <c r="CC44" s="9"/>
      <c r="CD44" s="9"/>
      <c r="CE44" s="9"/>
      <c r="CF44" s="149"/>
      <c r="CG44" s="149"/>
      <c r="CH44" s="149"/>
      <c r="CI44" s="149"/>
      <c r="CJ44" s="149"/>
      <c r="CK44" s="149"/>
      <c r="CL44" s="150"/>
      <c r="CM44" s="110"/>
      <c r="CN44" s="6"/>
      <c r="CO44" s="6"/>
    </row>
    <row r="45" spans="1:93" ht="9" customHeight="1" x14ac:dyDescent="0.2">
      <c r="A45" s="110">
        <v>38</v>
      </c>
      <c r="B45" s="391" t="str">
        <f>IF(VLOOKUP($A45,$CR$66:$DH$106,COLUMNS($CR$66:$DA$66),FALSE)=NameSpieler1,VLOOKUP($A45,$CR$66:$DH$106,COLUMNS($CR$67:$CS$67),FALSE),"")</f>
        <v/>
      </c>
      <c r="C45" s="392"/>
      <c r="D45" s="392"/>
      <c r="E45" s="392"/>
      <c r="F45" s="392"/>
      <c r="G45" s="392"/>
      <c r="H45" s="392"/>
      <c r="I45" s="12"/>
      <c r="J45" s="12"/>
      <c r="K45" s="12"/>
      <c r="L45" s="12"/>
      <c r="M45" s="13"/>
      <c r="N45" s="13"/>
      <c r="O45" s="14"/>
      <c r="P45" s="129" t="str">
        <f t="shared" ref="P45" si="38">IF(ISERROR(IF(VLOOKUP($B45,$CS$66:$DH$106,COLUMNS($CS$66:$DF$66),FALSE)="ja","!","")),"",IF(VLOOKUP($B45,$CS$66:$DH$106,COLUMNS($CS$66:$DF$66),FALSE)="ja","!",""))</f>
        <v/>
      </c>
      <c r="Q45" s="191"/>
      <c r="R45" s="156"/>
      <c r="S45" s="156"/>
      <c r="T45" s="156"/>
      <c r="U45" s="412"/>
      <c r="V45" s="413"/>
      <c r="W45" s="414"/>
      <c r="X45" s="19"/>
      <c r="Y45" s="20"/>
      <c r="Z45" s="20"/>
      <c r="AA45" s="20"/>
      <c r="AB45" s="20"/>
      <c r="AC45" s="20"/>
      <c r="AD45" s="20"/>
      <c r="AE45" s="20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20"/>
      <c r="BK45" s="20"/>
      <c r="BL45" s="20"/>
      <c r="BM45" s="20"/>
      <c r="BN45" s="20"/>
      <c r="BO45" s="20"/>
      <c r="BP45" s="21"/>
      <c r="BQ45" s="269"/>
      <c r="BR45" s="265"/>
      <c r="BS45" s="265"/>
      <c r="BT45" s="265"/>
      <c r="BU45" s="265"/>
      <c r="BV45" s="265"/>
      <c r="BW45" s="266"/>
      <c r="BX45" s="447" t="str">
        <f t="shared" ref="BX45" si="39">IF(ISERROR(IF(VLOOKUP($CF45,$CS$66:$DH$106,COLUMNS($CS$66:$DF$66),FALSE)="ja","!","")),"",IF(VLOOKUP($CF45,$CS$66:$DH$106,COLUMNS($CS$66:$DF$66),FALSE)="ja","!",""))</f>
        <v/>
      </c>
      <c r="BY45" s="10"/>
      <c r="BZ45" s="11"/>
      <c r="CA45" s="11"/>
      <c r="CB45" s="9"/>
      <c r="CC45" s="9"/>
      <c r="CD45" s="9"/>
      <c r="CE45" s="9"/>
      <c r="CF45" s="450" t="str">
        <f>IF(VLOOKUP($CM45,$CR$66:$DH$106,COLUMNS($CR$66:$DA$66),FALSE)=NameSpieler2,VLOOKUP($CM45,$CR$66:$DH$106,COLUMNS($CR$67:$CS$67),FALSE),"")</f>
        <v/>
      </c>
      <c r="CG45" s="450"/>
      <c r="CH45" s="450"/>
      <c r="CI45" s="450"/>
      <c r="CJ45" s="450"/>
      <c r="CK45" s="450"/>
      <c r="CL45" s="451"/>
      <c r="CM45" s="110">
        <v>38</v>
      </c>
      <c r="CN45" s="6"/>
      <c r="CO45" s="6"/>
    </row>
    <row r="46" spans="1:93" ht="9" customHeight="1" x14ac:dyDescent="0.2">
      <c r="A46" s="110"/>
      <c r="B46" s="391"/>
      <c r="C46" s="392"/>
      <c r="D46" s="392"/>
      <c r="E46" s="392"/>
      <c r="F46" s="392"/>
      <c r="G46" s="392"/>
      <c r="H46" s="392"/>
      <c r="I46" s="12"/>
      <c r="J46" s="12"/>
      <c r="K46" s="12"/>
      <c r="L46" s="12"/>
      <c r="M46" s="13"/>
      <c r="N46" s="13"/>
      <c r="O46" s="14"/>
      <c r="P46" s="129"/>
      <c r="Q46" s="191"/>
      <c r="R46" s="156"/>
      <c r="S46" s="156"/>
      <c r="T46" s="156"/>
      <c r="U46" s="412"/>
      <c r="V46" s="413"/>
      <c r="W46" s="414"/>
      <c r="X46" s="19"/>
      <c r="Y46" s="20"/>
      <c r="Z46" s="20"/>
      <c r="AA46" s="20"/>
      <c r="AB46" s="20"/>
      <c r="AC46" s="20"/>
      <c r="AD46" s="20"/>
      <c r="AE46" s="20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20"/>
      <c r="BK46" s="20"/>
      <c r="BL46" s="20"/>
      <c r="BM46" s="20"/>
      <c r="BN46" s="20"/>
      <c r="BO46" s="20"/>
      <c r="BP46" s="21"/>
      <c r="BQ46" s="269"/>
      <c r="BR46" s="265"/>
      <c r="BS46" s="265"/>
      <c r="BT46" s="265"/>
      <c r="BU46" s="265"/>
      <c r="BV46" s="265"/>
      <c r="BW46" s="266"/>
      <c r="BX46" s="447"/>
      <c r="BY46" s="10"/>
      <c r="BZ46" s="11"/>
      <c r="CA46" s="11"/>
      <c r="CB46" s="9"/>
      <c r="CC46" s="9"/>
      <c r="CD46" s="9"/>
      <c r="CE46" s="9"/>
      <c r="CF46" s="450"/>
      <c r="CG46" s="450"/>
      <c r="CH46" s="450"/>
      <c r="CI46" s="450"/>
      <c r="CJ46" s="450"/>
      <c r="CK46" s="450"/>
      <c r="CL46" s="451"/>
      <c r="CM46" s="110"/>
      <c r="CN46" s="6"/>
      <c r="CO46" s="6"/>
    </row>
    <row r="47" spans="1:93" ht="9" customHeight="1" x14ac:dyDescent="0.2">
      <c r="A47" s="110">
        <v>40</v>
      </c>
      <c r="B47" s="391" t="str">
        <f>IF(VLOOKUP($A47,$CR$66:$DH$106,COLUMNS($CR$66:$DA$66),FALSE)=NameSpieler1,VLOOKUP($A47,$CR$66:$DH$106,COLUMNS($CR$67:$CS$67),FALSE),"")</f>
        <v/>
      </c>
      <c r="C47" s="392"/>
      <c r="D47" s="392"/>
      <c r="E47" s="392"/>
      <c r="F47" s="392"/>
      <c r="G47" s="392"/>
      <c r="H47" s="392"/>
      <c r="I47" s="12"/>
      <c r="J47" s="12"/>
      <c r="K47" s="12"/>
      <c r="L47" s="12"/>
      <c r="M47" s="13"/>
      <c r="N47" s="13"/>
      <c r="O47" s="14"/>
      <c r="P47" s="129" t="str">
        <f t="shared" ref="P47" si="40">IF(ISERROR(IF(VLOOKUP($B47,$CS$66:$DH$106,COLUMNS($CS$66:$DF$66),FALSE)="ja","!","")),"",IF(VLOOKUP($B47,$CS$66:$DH$106,COLUMNS($CS$66:$DF$66),FALSE)="ja","!",""))</f>
        <v/>
      </c>
      <c r="Q47" s="191"/>
      <c r="R47" s="156"/>
      <c r="S47" s="156"/>
      <c r="T47" s="156"/>
      <c r="U47" s="412"/>
      <c r="V47" s="413"/>
      <c r="W47" s="414"/>
      <c r="X47" s="19"/>
      <c r="Y47" s="20"/>
      <c r="Z47" s="20"/>
      <c r="AA47" s="20"/>
      <c r="AB47" s="20"/>
      <c r="AC47" s="20"/>
      <c r="AD47" s="20"/>
      <c r="AE47" s="20"/>
      <c r="AF47" s="34"/>
      <c r="AG47" s="274" t="s">
        <v>71</v>
      </c>
      <c r="AH47" s="274"/>
      <c r="AI47" s="274"/>
      <c r="AJ47" s="274"/>
      <c r="AK47" s="274"/>
      <c r="AL47" s="274"/>
      <c r="AM47" s="274"/>
      <c r="AN47" s="274"/>
      <c r="AO47" s="274"/>
      <c r="AP47" s="274"/>
      <c r="AQ47" s="274"/>
      <c r="AR47" s="274"/>
      <c r="AS47" s="274"/>
      <c r="AT47" s="274"/>
      <c r="AU47" s="274"/>
      <c r="AV47" s="274"/>
      <c r="AW47" s="274"/>
      <c r="AX47" s="274"/>
      <c r="AY47" s="274"/>
      <c r="AZ47" s="274"/>
      <c r="BA47" s="274"/>
      <c r="BB47" s="274"/>
      <c r="BC47" s="274"/>
      <c r="BD47" s="274"/>
      <c r="BE47" s="274"/>
      <c r="BF47" s="274"/>
      <c r="BG47" s="274"/>
      <c r="BH47" s="34"/>
      <c r="BI47" s="34"/>
      <c r="BJ47" s="20"/>
      <c r="BK47" s="20"/>
      <c r="BL47" s="20"/>
      <c r="BM47" s="20"/>
      <c r="BN47" s="20"/>
      <c r="BO47" s="20"/>
      <c r="BP47" s="21"/>
      <c r="BQ47" s="269"/>
      <c r="BR47" s="265"/>
      <c r="BS47" s="265"/>
      <c r="BT47" s="265"/>
      <c r="BU47" s="265"/>
      <c r="BV47" s="265"/>
      <c r="BW47" s="266"/>
      <c r="BX47" s="447" t="str">
        <f t="shared" ref="BX47" si="41">IF(ISERROR(IF(VLOOKUP($CF47,$CS$66:$DH$106,COLUMNS($CS$66:$DF$66),FALSE)="ja","!","")),"",IF(VLOOKUP($CF47,$CS$66:$DH$106,COLUMNS($CS$66:$DF$66),FALSE)="ja","!",""))</f>
        <v/>
      </c>
      <c r="BY47" s="10"/>
      <c r="BZ47" s="11"/>
      <c r="CA47" s="11"/>
      <c r="CB47" s="9"/>
      <c r="CC47" s="9"/>
      <c r="CD47" s="9"/>
      <c r="CE47" s="9"/>
      <c r="CF47" s="450" t="str">
        <f>IF(VLOOKUP($CM47,$CR$66:$DH$106,COLUMNS($CR$66:$DA$66),FALSE)=NameSpieler2,VLOOKUP($CM47,$CR$66:$DH$106,COLUMNS($CR$67:$CS$67),FALSE),"")</f>
        <v/>
      </c>
      <c r="CG47" s="450"/>
      <c r="CH47" s="450"/>
      <c r="CI47" s="450"/>
      <c r="CJ47" s="450"/>
      <c r="CK47" s="450"/>
      <c r="CL47" s="451"/>
      <c r="CM47" s="110">
        <v>40</v>
      </c>
      <c r="CN47" s="6"/>
      <c r="CO47" s="6"/>
    </row>
    <row r="48" spans="1:93" ht="9" customHeight="1" x14ac:dyDescent="0.2">
      <c r="A48" s="110"/>
      <c r="B48" s="391"/>
      <c r="C48" s="392"/>
      <c r="D48" s="392"/>
      <c r="E48" s="392"/>
      <c r="F48" s="392"/>
      <c r="G48" s="392"/>
      <c r="H48" s="392"/>
      <c r="I48" s="12"/>
      <c r="J48" s="12"/>
      <c r="K48" s="12"/>
      <c r="L48" s="12"/>
      <c r="M48" s="13"/>
      <c r="N48" s="13"/>
      <c r="O48" s="14"/>
      <c r="P48" s="129"/>
      <c r="Q48" s="191"/>
      <c r="R48" s="156"/>
      <c r="S48" s="156"/>
      <c r="T48" s="156"/>
      <c r="U48" s="412"/>
      <c r="V48" s="413"/>
      <c r="W48" s="414"/>
      <c r="X48" s="19"/>
      <c r="Y48" s="20"/>
      <c r="Z48" s="20"/>
      <c r="AA48" s="20"/>
      <c r="AB48" s="20"/>
      <c r="AC48" s="20"/>
      <c r="AD48" s="20"/>
      <c r="AE48" s="20"/>
      <c r="AF48" s="34"/>
      <c r="AG48" s="274"/>
      <c r="AH48" s="274"/>
      <c r="AI48" s="274"/>
      <c r="AJ48" s="274"/>
      <c r="AK48" s="274"/>
      <c r="AL48" s="274"/>
      <c r="AM48" s="274"/>
      <c r="AN48" s="274"/>
      <c r="AO48" s="274"/>
      <c r="AP48" s="274"/>
      <c r="AQ48" s="274"/>
      <c r="AR48" s="274"/>
      <c r="AS48" s="274"/>
      <c r="AT48" s="274"/>
      <c r="AU48" s="274"/>
      <c r="AV48" s="274"/>
      <c r="AW48" s="274"/>
      <c r="AX48" s="274"/>
      <c r="AY48" s="274"/>
      <c r="AZ48" s="274"/>
      <c r="BA48" s="274"/>
      <c r="BB48" s="274"/>
      <c r="BC48" s="274"/>
      <c r="BD48" s="274"/>
      <c r="BE48" s="274"/>
      <c r="BF48" s="274"/>
      <c r="BG48" s="274"/>
      <c r="BH48" s="34"/>
      <c r="BI48" s="34"/>
      <c r="BJ48" s="20"/>
      <c r="BK48" s="20"/>
      <c r="BL48" s="20"/>
      <c r="BM48" s="20"/>
      <c r="BN48" s="20"/>
      <c r="BO48" s="20"/>
      <c r="BP48" s="21"/>
      <c r="BQ48" s="269"/>
      <c r="BR48" s="265"/>
      <c r="BS48" s="265"/>
      <c r="BT48" s="265"/>
      <c r="BU48" s="265"/>
      <c r="BV48" s="265"/>
      <c r="BW48" s="266"/>
      <c r="BX48" s="447"/>
      <c r="BY48" s="10"/>
      <c r="BZ48" s="11"/>
      <c r="CA48" s="11"/>
      <c r="CB48" s="9"/>
      <c r="CC48" s="9"/>
      <c r="CD48" s="9"/>
      <c r="CE48" s="9"/>
      <c r="CF48" s="450"/>
      <c r="CG48" s="450"/>
      <c r="CH48" s="450"/>
      <c r="CI48" s="450"/>
      <c r="CJ48" s="450"/>
      <c r="CK48" s="450"/>
      <c r="CL48" s="451"/>
      <c r="CM48" s="110"/>
      <c r="CN48" s="6"/>
      <c r="CO48" s="6"/>
    </row>
    <row r="49" spans="1:129" ht="9" customHeight="1" x14ac:dyDescent="0.2">
      <c r="A49" s="110">
        <v>6</v>
      </c>
      <c r="B49" s="393" t="str">
        <f>IF(VLOOKUP($A49,$CR$66:$DH$106,COLUMNS($CR$66:$DA$66),FALSE)=NameSpieler1,VLOOKUP($A49,$CR$66:$DH$106,COLUMNS($CR$67:$CS$67),FALSE),"")</f>
        <v/>
      </c>
      <c r="C49" s="394"/>
      <c r="D49" s="394"/>
      <c r="E49" s="394"/>
      <c r="F49" s="394"/>
      <c r="G49" s="394"/>
      <c r="H49" s="394"/>
      <c r="I49" s="151"/>
      <c r="J49" s="151"/>
      <c r="K49" s="151"/>
      <c r="L49" s="151"/>
      <c r="M49" s="151"/>
      <c r="N49" s="151"/>
      <c r="O49" s="152"/>
      <c r="P49" s="129" t="str">
        <f t="shared" ref="P49" si="42">IF(ISERROR(IF(VLOOKUP($B49,$CS$66:$DH$106,COLUMNS($CS$66:$DF$66),FALSE)="ja","!","")),"",IF(VLOOKUP($B49,$CS$66:$DH$106,COLUMNS($CS$66:$DF$66),FALSE)="ja","!",""))</f>
        <v/>
      </c>
      <c r="Q49" s="191"/>
      <c r="R49" s="166"/>
      <c r="S49" s="166"/>
      <c r="T49" s="166"/>
      <c r="U49" s="412">
        <f>IF(VLOOKUP(V49,$CS$66:$DH$106,COLUMNS($CS$66:$DA$66),FALSE)=NameSpieler1,NameSpieler1,IF(VLOOKUP(V49,$CS$66:$DH$106,COLUMNS($CS$66:$DA$66),FALSE)=NameSpieler2,NameSpieler2,VLOOKUP($V49,$CS$66:$CT$106,2,FALSE)))</f>
        <v>1400</v>
      </c>
      <c r="V49" s="417" t="s">
        <v>8</v>
      </c>
      <c r="W49" s="418"/>
      <c r="X49" s="19"/>
      <c r="Y49" s="20"/>
      <c r="Z49" s="20"/>
      <c r="AA49" s="20"/>
      <c r="AB49" s="20"/>
      <c r="AC49" s="20"/>
      <c r="AD49" s="20"/>
      <c r="AE49" s="20"/>
      <c r="AF49" s="34"/>
      <c r="AG49" s="274"/>
      <c r="AH49" s="274"/>
      <c r="AI49" s="274"/>
      <c r="AJ49" s="274"/>
      <c r="AK49" s="274"/>
      <c r="AL49" s="274"/>
      <c r="AM49" s="274"/>
      <c r="AN49" s="274"/>
      <c r="AO49" s="274"/>
      <c r="AP49" s="274"/>
      <c r="AQ49" s="274"/>
      <c r="AR49" s="274"/>
      <c r="AS49" s="274"/>
      <c r="AT49" s="274"/>
      <c r="AU49" s="274"/>
      <c r="AV49" s="274"/>
      <c r="AW49" s="274"/>
      <c r="AX49" s="274"/>
      <c r="AY49" s="274"/>
      <c r="AZ49" s="274"/>
      <c r="BA49" s="274"/>
      <c r="BB49" s="274"/>
      <c r="BC49" s="274"/>
      <c r="BD49" s="274"/>
      <c r="BE49" s="274"/>
      <c r="BF49" s="274"/>
      <c r="BG49" s="274"/>
      <c r="BH49" s="34"/>
      <c r="BI49" s="34"/>
      <c r="BJ49" s="20"/>
      <c r="BK49" s="20"/>
      <c r="BL49" s="20"/>
      <c r="BM49" s="20"/>
      <c r="BN49" s="20"/>
      <c r="BO49" s="20"/>
      <c r="BP49" s="21"/>
      <c r="BQ49" s="318" t="s">
        <v>25</v>
      </c>
      <c r="BR49" s="319"/>
      <c r="BS49" s="231">
        <f>IF(VLOOKUP(BQ49,$CS$66:$DH$106,COLUMNS($CS$66:$DA$66),FALSE)=NameSpieler1,NameSpieler1,IF(VLOOKUP(BQ49,$CS$66:$DH$106,COLUMNS($CS$66:$DA$66),FALSE)=NameSpieler2,NameSpieler2,VLOOKUP(BQ49,$CS$66:$CT$106,2,FALSE)))</f>
        <v>4000</v>
      </c>
      <c r="BT49" s="156"/>
      <c r="BU49" s="166"/>
      <c r="BV49" s="166"/>
      <c r="BW49" s="251"/>
      <c r="BX49" s="447" t="str">
        <f t="shared" ref="BX49" si="43">IF(ISERROR(IF(VLOOKUP($CF49,$CS$66:$DH$106,COLUMNS($CS$66:$DF$66),FALSE)="ja","!","")),"",IF(VLOOKUP($CF49,$CS$66:$DH$106,COLUMNS($CS$66:$DF$66),FALSE)="ja","!",""))</f>
        <v/>
      </c>
      <c r="BY49" s="153"/>
      <c r="BZ49" s="154"/>
      <c r="CA49" s="154"/>
      <c r="CB49" s="154"/>
      <c r="CC49" s="154"/>
      <c r="CD49" s="154"/>
      <c r="CE49" s="154"/>
      <c r="CF49" s="111" t="str">
        <f>IF(VLOOKUP($CM49,$CR$66:$DH$106,COLUMNS($CR$66:$DA$66),FALSE)=NameSpieler2,VLOOKUP($CM49,$CR$66:$DH$106,COLUMNS($CR$67:$CS$67),FALSE),"")</f>
        <v/>
      </c>
      <c r="CG49" s="111"/>
      <c r="CH49" s="111"/>
      <c r="CI49" s="111"/>
      <c r="CJ49" s="111"/>
      <c r="CK49" s="111"/>
      <c r="CL49" s="112"/>
      <c r="CM49" s="110">
        <v>6</v>
      </c>
      <c r="CN49" s="6"/>
      <c r="CO49" s="6"/>
    </row>
    <row r="50" spans="1:129" ht="9" customHeight="1" x14ac:dyDescent="0.2">
      <c r="A50" s="110"/>
      <c r="B50" s="393"/>
      <c r="C50" s="394"/>
      <c r="D50" s="394"/>
      <c r="E50" s="394"/>
      <c r="F50" s="394"/>
      <c r="G50" s="394"/>
      <c r="H50" s="394"/>
      <c r="I50" s="151"/>
      <c r="J50" s="151"/>
      <c r="K50" s="151"/>
      <c r="L50" s="151"/>
      <c r="M50" s="151"/>
      <c r="N50" s="151"/>
      <c r="O50" s="152"/>
      <c r="P50" s="129"/>
      <c r="Q50" s="192"/>
      <c r="R50" s="166"/>
      <c r="S50" s="166"/>
      <c r="T50" s="166"/>
      <c r="U50" s="412"/>
      <c r="V50" s="417"/>
      <c r="W50" s="418"/>
      <c r="X50" s="19"/>
      <c r="Y50" s="20"/>
      <c r="Z50" s="20"/>
      <c r="AA50" s="20"/>
      <c r="AB50" s="20"/>
      <c r="AC50" s="20"/>
      <c r="AD50" s="20"/>
      <c r="AE50" s="20"/>
      <c r="AF50" s="34"/>
      <c r="AG50" s="274"/>
      <c r="AH50" s="274"/>
      <c r="AI50" s="274"/>
      <c r="AJ50" s="274"/>
      <c r="AK50" s="274"/>
      <c r="AL50" s="274"/>
      <c r="AM50" s="274"/>
      <c r="AN50" s="274"/>
      <c r="AO50" s="274"/>
      <c r="AP50" s="274"/>
      <c r="AQ50" s="274"/>
      <c r="AR50" s="274"/>
      <c r="AS50" s="274"/>
      <c r="AT50" s="274"/>
      <c r="AU50" s="274"/>
      <c r="AV50" s="274"/>
      <c r="AW50" s="274"/>
      <c r="AX50" s="274"/>
      <c r="AY50" s="274"/>
      <c r="AZ50" s="274"/>
      <c r="BA50" s="274"/>
      <c r="BB50" s="274"/>
      <c r="BC50" s="274"/>
      <c r="BD50" s="274"/>
      <c r="BE50" s="274"/>
      <c r="BF50" s="274"/>
      <c r="BG50" s="274"/>
      <c r="BH50" s="34"/>
      <c r="BI50" s="34"/>
      <c r="BJ50" s="20"/>
      <c r="BK50" s="20"/>
      <c r="BL50" s="20"/>
      <c r="BM50" s="20"/>
      <c r="BN50" s="20"/>
      <c r="BO50" s="20"/>
      <c r="BP50" s="21"/>
      <c r="BQ50" s="318"/>
      <c r="BR50" s="319"/>
      <c r="BS50" s="231"/>
      <c r="BT50" s="166"/>
      <c r="BU50" s="166"/>
      <c r="BV50" s="166"/>
      <c r="BW50" s="251"/>
      <c r="BX50" s="447"/>
      <c r="BY50" s="153"/>
      <c r="BZ50" s="154"/>
      <c r="CA50" s="154"/>
      <c r="CB50" s="154"/>
      <c r="CC50" s="154"/>
      <c r="CD50" s="154"/>
      <c r="CE50" s="154"/>
      <c r="CF50" s="111"/>
      <c r="CG50" s="111"/>
      <c r="CH50" s="111"/>
      <c r="CI50" s="111"/>
      <c r="CJ50" s="111"/>
      <c r="CK50" s="111"/>
      <c r="CL50" s="112"/>
      <c r="CM50" s="110"/>
      <c r="CN50" s="6"/>
      <c r="CO50" s="6"/>
    </row>
    <row r="51" spans="1:129" ht="9" customHeight="1" x14ac:dyDescent="0.2">
      <c r="A51" s="110">
        <v>16</v>
      </c>
      <c r="B51" s="393" t="str">
        <f>IF(VLOOKUP($A51,$CR$66:$DH$106,COLUMNS($CR$66:$DA$66),FALSE)=NameSpieler1,VLOOKUP($A51,$CR$66:$DH$106,COLUMNS($CR$67:$CS$67),FALSE),"")</f>
        <v/>
      </c>
      <c r="C51" s="394"/>
      <c r="D51" s="394"/>
      <c r="E51" s="394"/>
      <c r="F51" s="394"/>
      <c r="G51" s="394"/>
      <c r="H51" s="394"/>
      <c r="I51" s="12"/>
      <c r="J51" s="12"/>
      <c r="K51" s="12"/>
      <c r="L51" s="12"/>
      <c r="M51" s="13"/>
      <c r="N51" s="13"/>
      <c r="O51" s="14"/>
      <c r="P51" s="129" t="str">
        <f t="shared" ref="P51" si="44">IF(ISERROR(IF(VLOOKUP($B51,$CS$66:$DH$106,COLUMNS($CS$66:$DF$66),FALSE)="ja","!","")),"",IF(VLOOKUP($B51,$CS$66:$DH$106,COLUMNS($CS$66:$DF$66),FALSE)="ja","!",""))</f>
        <v/>
      </c>
      <c r="Q51" s="192"/>
      <c r="R51" s="166"/>
      <c r="S51" s="166"/>
      <c r="T51" s="166"/>
      <c r="U51" s="412"/>
      <c r="V51" s="417"/>
      <c r="W51" s="418"/>
      <c r="X51" s="19"/>
      <c r="Y51" s="20"/>
      <c r="Z51" s="20"/>
      <c r="AA51" s="20"/>
      <c r="AB51" s="20"/>
      <c r="AC51" s="20"/>
      <c r="AD51" s="20"/>
      <c r="AE51" s="20"/>
      <c r="AF51" s="20"/>
      <c r="AG51" s="274"/>
      <c r="AH51" s="274"/>
      <c r="AI51" s="274"/>
      <c r="AJ51" s="274"/>
      <c r="AK51" s="274"/>
      <c r="AL51" s="274"/>
      <c r="AM51" s="274"/>
      <c r="AN51" s="274"/>
      <c r="AO51" s="274"/>
      <c r="AP51" s="274"/>
      <c r="AQ51" s="274"/>
      <c r="AR51" s="274"/>
      <c r="AS51" s="274"/>
      <c r="AT51" s="274"/>
      <c r="AU51" s="274"/>
      <c r="AV51" s="274"/>
      <c r="AW51" s="274"/>
      <c r="AX51" s="274"/>
      <c r="AY51" s="274"/>
      <c r="AZ51" s="274"/>
      <c r="BA51" s="274"/>
      <c r="BB51" s="274"/>
      <c r="BC51" s="274"/>
      <c r="BD51" s="274"/>
      <c r="BE51" s="274"/>
      <c r="BF51" s="274"/>
      <c r="BG51" s="274"/>
      <c r="BH51" s="20"/>
      <c r="BI51" s="20"/>
      <c r="BJ51" s="20"/>
      <c r="BK51" s="20"/>
      <c r="BL51" s="20"/>
      <c r="BM51" s="20"/>
      <c r="BN51" s="20"/>
      <c r="BO51" s="20"/>
      <c r="BP51" s="21"/>
      <c r="BQ51" s="318"/>
      <c r="BR51" s="319"/>
      <c r="BS51" s="231"/>
      <c r="BT51" s="166"/>
      <c r="BU51" s="166"/>
      <c r="BV51" s="166"/>
      <c r="BW51" s="251"/>
      <c r="BX51" s="447" t="str">
        <f t="shared" ref="BX51" si="45">IF(ISERROR(IF(VLOOKUP($CF51,$CS$66:$DH$106,COLUMNS($CS$66:$DF$66),FALSE)="ja","!","")),"",IF(VLOOKUP($CF51,$CS$66:$DH$106,COLUMNS($CS$66:$DF$66),FALSE)="ja","!",""))</f>
        <v/>
      </c>
      <c r="BY51" s="10"/>
      <c r="BZ51" s="11"/>
      <c r="CA51" s="11"/>
      <c r="CB51" s="9"/>
      <c r="CC51" s="9"/>
      <c r="CD51" s="9"/>
      <c r="CE51" s="9"/>
      <c r="CF51" s="111" t="str">
        <f>IF(VLOOKUP($CM51,$CR$66:$DH$106,COLUMNS($CR$66:$DA$66),FALSE)=NameSpieler2,VLOOKUP($CM51,$CR$66:$DH$106,COLUMNS($CR$67:$CS$67),FALSE),"")</f>
        <v/>
      </c>
      <c r="CG51" s="111"/>
      <c r="CH51" s="111"/>
      <c r="CI51" s="111"/>
      <c r="CJ51" s="111"/>
      <c r="CK51" s="111"/>
      <c r="CL51" s="112"/>
      <c r="CM51" s="110">
        <v>16</v>
      </c>
      <c r="CN51" s="6"/>
      <c r="CO51" s="6"/>
    </row>
    <row r="52" spans="1:129" ht="9" customHeight="1" x14ac:dyDescent="0.2">
      <c r="A52" s="110"/>
      <c r="B52" s="393"/>
      <c r="C52" s="394"/>
      <c r="D52" s="394"/>
      <c r="E52" s="394"/>
      <c r="F52" s="394"/>
      <c r="G52" s="394"/>
      <c r="H52" s="394"/>
      <c r="I52" s="436" t="str">
        <f>IF(NachrichtS1="WAHR","You've got mail!","")</f>
        <v/>
      </c>
      <c r="J52" s="436"/>
      <c r="K52" s="436"/>
      <c r="L52" s="436"/>
      <c r="M52" s="436"/>
      <c r="N52" s="436"/>
      <c r="O52" s="437"/>
      <c r="P52" s="129"/>
      <c r="Q52" s="192"/>
      <c r="R52" s="166"/>
      <c r="S52" s="166"/>
      <c r="T52" s="166"/>
      <c r="U52" s="412"/>
      <c r="V52" s="417"/>
      <c r="W52" s="418"/>
      <c r="X52" s="19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  <c r="BO52" s="20"/>
      <c r="BP52" s="21"/>
      <c r="BQ52" s="318"/>
      <c r="BR52" s="319"/>
      <c r="BS52" s="231"/>
      <c r="BT52" s="166"/>
      <c r="BU52" s="166"/>
      <c r="BV52" s="166"/>
      <c r="BW52" s="251"/>
      <c r="BX52" s="447"/>
      <c r="BY52" s="452" t="str">
        <f>IF(NachrichtS2="WAHR","You've got mail!","")</f>
        <v/>
      </c>
      <c r="BZ52" s="453"/>
      <c r="CA52" s="453"/>
      <c r="CB52" s="453"/>
      <c r="CC52" s="453"/>
      <c r="CD52" s="453"/>
      <c r="CE52" s="453"/>
      <c r="CF52" s="111"/>
      <c r="CG52" s="111"/>
      <c r="CH52" s="111"/>
      <c r="CI52" s="111"/>
      <c r="CJ52" s="111"/>
      <c r="CK52" s="111"/>
      <c r="CL52" s="112"/>
      <c r="CM52" s="110"/>
      <c r="CN52" s="6"/>
      <c r="CO52" s="6"/>
    </row>
    <row r="53" spans="1:129" ht="9" customHeight="1" thickBot="1" x14ac:dyDescent="0.25">
      <c r="A53" s="110">
        <v>26</v>
      </c>
      <c r="B53" s="393" t="str">
        <f>IF(VLOOKUP($A53,$CR$66:$DH$106,COLUMNS($CR$66:$DA$66),FALSE)=NameSpieler1,VLOOKUP($A53,$CR$66:$DH$106,COLUMNS($CR$67:$CS$67),FALSE),"")</f>
        <v/>
      </c>
      <c r="C53" s="394"/>
      <c r="D53" s="394"/>
      <c r="E53" s="394"/>
      <c r="F53" s="394"/>
      <c r="G53" s="394"/>
      <c r="H53" s="394"/>
      <c r="I53" s="108" t="str">
        <f>IF(NachrichtS1="WAHR","*","")</f>
        <v/>
      </c>
      <c r="J53" s="108"/>
      <c r="K53" s="108"/>
      <c r="L53" s="108"/>
      <c r="M53" s="108"/>
      <c r="N53" s="108"/>
      <c r="O53" s="109"/>
      <c r="P53" s="129" t="str">
        <f t="shared" ref="P53" si="46">IF(ISERROR(IF(VLOOKUP($B53,$CS$66:$DH$106,COLUMNS($CS$66:$DF$66),FALSE)="ja","!","")),"",IF(VLOOKUP($B53,$CS$66:$DH$106,COLUMNS($CS$66:$DF$66),FALSE)="ja","!",""))</f>
        <v/>
      </c>
      <c r="Q53" s="415"/>
      <c r="R53" s="168"/>
      <c r="S53" s="168"/>
      <c r="T53" s="168"/>
      <c r="U53" s="416"/>
      <c r="V53" s="419"/>
      <c r="W53" s="420"/>
      <c r="X53" s="22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23"/>
      <c r="AY53" s="23"/>
      <c r="AZ53" s="23"/>
      <c r="BA53" s="23"/>
      <c r="BB53" s="23"/>
      <c r="BC53" s="23"/>
      <c r="BD53" s="23"/>
      <c r="BE53" s="23"/>
      <c r="BF53" s="23"/>
      <c r="BG53" s="23"/>
      <c r="BH53" s="23"/>
      <c r="BI53" s="23"/>
      <c r="BJ53" s="23"/>
      <c r="BK53" s="23"/>
      <c r="BL53" s="23"/>
      <c r="BM53" s="23"/>
      <c r="BN53" s="23"/>
      <c r="BO53" s="23"/>
      <c r="BP53" s="24"/>
      <c r="BQ53" s="320"/>
      <c r="BR53" s="321"/>
      <c r="BS53" s="322"/>
      <c r="BT53" s="168"/>
      <c r="BU53" s="168"/>
      <c r="BV53" s="168"/>
      <c r="BW53" s="323"/>
      <c r="BX53" s="447" t="str">
        <f t="shared" ref="BX53" si="47">IF(ISERROR(IF(VLOOKUP($CF53,$CS$66:$DH$106,COLUMNS($CS$66:$DF$66),FALSE)="ja","!","")),"",IF(VLOOKUP($CF53,$CS$66:$DH$106,COLUMNS($CS$66:$DF$66),FALSE)="ja","!",""))</f>
        <v/>
      </c>
      <c r="BY53" s="106" t="str">
        <f>IF(NachrichtS2="WAHR","*","")</f>
        <v/>
      </c>
      <c r="BZ53" s="107"/>
      <c r="CA53" s="107"/>
      <c r="CB53" s="107"/>
      <c r="CC53" s="107"/>
      <c r="CD53" s="107"/>
      <c r="CE53" s="107"/>
      <c r="CF53" s="111" t="str">
        <f>IF(VLOOKUP($CM53,$CR$66:$DH$106,COLUMNS($CR$66:$DA$66),FALSE)=NameSpieler2,VLOOKUP($CM53,$CR$66:$DH$106,COLUMNS($CR$67:$CS$67),FALSE),"")</f>
        <v/>
      </c>
      <c r="CG53" s="111"/>
      <c r="CH53" s="111"/>
      <c r="CI53" s="111"/>
      <c r="CJ53" s="111"/>
      <c r="CK53" s="111"/>
      <c r="CL53" s="112"/>
      <c r="CM53" s="110">
        <v>26</v>
      </c>
      <c r="CN53" s="6"/>
      <c r="CO53" s="6"/>
    </row>
    <row r="54" spans="1:129" ht="9" customHeight="1" x14ac:dyDescent="0.2">
      <c r="A54" s="110"/>
      <c r="B54" s="393"/>
      <c r="C54" s="394"/>
      <c r="D54" s="394"/>
      <c r="E54" s="394"/>
      <c r="F54" s="394"/>
      <c r="G54" s="394"/>
      <c r="H54" s="394"/>
      <c r="I54" s="108"/>
      <c r="J54" s="108"/>
      <c r="K54" s="108"/>
      <c r="L54" s="108"/>
      <c r="M54" s="108"/>
      <c r="N54" s="108"/>
      <c r="O54" s="109"/>
      <c r="P54" s="129"/>
      <c r="Q54" s="404" t="s">
        <v>33</v>
      </c>
      <c r="R54" s="405"/>
      <c r="S54" s="405"/>
      <c r="T54" s="405"/>
      <c r="U54" s="395"/>
      <c r="V54" s="396"/>
      <c r="W54" s="397"/>
      <c r="X54" s="161" t="s">
        <v>7</v>
      </c>
      <c r="Y54" s="162"/>
      <c r="Z54" s="162"/>
      <c r="AA54" s="162"/>
      <c r="AB54" s="162"/>
      <c r="AC54" s="162" t="s">
        <v>6</v>
      </c>
      <c r="AD54" s="162"/>
      <c r="AE54" s="162"/>
      <c r="AF54" s="162"/>
      <c r="AG54" s="229"/>
      <c r="AH54" s="275" t="s">
        <v>65</v>
      </c>
      <c r="AI54" s="276"/>
      <c r="AJ54" s="276"/>
      <c r="AK54" s="276"/>
      <c r="AL54" s="276"/>
      <c r="AM54" s="270" t="s">
        <v>5</v>
      </c>
      <c r="AN54" s="162"/>
      <c r="AO54" s="162"/>
      <c r="AP54" s="162"/>
      <c r="AQ54" s="162"/>
      <c r="AR54" s="327" t="s">
        <v>4</v>
      </c>
      <c r="AS54" s="327"/>
      <c r="AT54" s="327"/>
      <c r="AU54" s="327"/>
      <c r="AV54" s="327"/>
      <c r="AW54" s="348" t="s">
        <v>64</v>
      </c>
      <c r="AX54" s="349"/>
      <c r="AY54" s="349"/>
      <c r="AZ54" s="349"/>
      <c r="BA54" s="349"/>
      <c r="BB54" s="332" t="s">
        <v>3</v>
      </c>
      <c r="BC54" s="332"/>
      <c r="BD54" s="332"/>
      <c r="BE54" s="332"/>
      <c r="BF54" s="346"/>
      <c r="BG54" s="337" t="s">
        <v>63</v>
      </c>
      <c r="BH54" s="338"/>
      <c r="BI54" s="338"/>
      <c r="BJ54" s="338"/>
      <c r="BK54" s="339"/>
      <c r="BL54" s="331" t="s">
        <v>2</v>
      </c>
      <c r="BM54" s="332"/>
      <c r="BN54" s="332"/>
      <c r="BO54" s="332"/>
      <c r="BP54" s="333"/>
      <c r="BQ54" s="294" t="s">
        <v>100</v>
      </c>
      <c r="BR54" s="295"/>
      <c r="BS54" s="295"/>
      <c r="BT54" s="295"/>
      <c r="BU54" s="295"/>
      <c r="BV54" s="295"/>
      <c r="BW54" s="296"/>
      <c r="BX54" s="447"/>
      <c r="BY54" s="106"/>
      <c r="BZ54" s="107"/>
      <c r="CA54" s="107"/>
      <c r="CB54" s="107"/>
      <c r="CC54" s="107"/>
      <c r="CD54" s="107"/>
      <c r="CE54" s="107"/>
      <c r="CF54" s="111"/>
      <c r="CG54" s="111"/>
      <c r="CH54" s="111"/>
      <c r="CI54" s="111"/>
      <c r="CJ54" s="111"/>
      <c r="CK54" s="111"/>
      <c r="CL54" s="112"/>
      <c r="CM54" s="110"/>
      <c r="CN54" s="6"/>
      <c r="CO54" s="6"/>
    </row>
    <row r="55" spans="1:129" ht="9" customHeight="1" x14ac:dyDescent="0.2">
      <c r="A55" s="110">
        <v>36</v>
      </c>
      <c r="B55" s="393" t="str">
        <f>IF(VLOOKUP($A55,$CR$66:$DH$106,COLUMNS($CR$66:$DA$66),FALSE)=NameSpieler1,VLOOKUP($A55,$CR$66:$DH$106,COLUMNS($CR$67:$CS$67),FALSE),"")</f>
        <v/>
      </c>
      <c r="C55" s="394"/>
      <c r="D55" s="394"/>
      <c r="E55" s="394"/>
      <c r="F55" s="394"/>
      <c r="G55" s="394"/>
      <c r="H55" s="394"/>
      <c r="I55" s="108"/>
      <c r="J55" s="108"/>
      <c r="K55" s="108"/>
      <c r="L55" s="108"/>
      <c r="M55" s="108"/>
      <c r="N55" s="108"/>
      <c r="O55" s="109"/>
      <c r="P55" s="129" t="str">
        <f t="shared" ref="P55" si="48">IF(ISERROR(IF(VLOOKUP($B55,$CS$66:$DH$106,COLUMNS($CS$66:$DF$66),FALSE)="ja","!","")),"",IF(VLOOKUP($B55,$CS$66:$DH$106,COLUMNS($CS$66:$DF$66),FALSE)="ja","!",""))</f>
        <v/>
      </c>
      <c r="Q55" s="406"/>
      <c r="R55" s="407"/>
      <c r="S55" s="407"/>
      <c r="T55" s="407"/>
      <c r="U55" s="398"/>
      <c r="V55" s="399"/>
      <c r="W55" s="400"/>
      <c r="X55" s="163"/>
      <c r="Y55" s="164"/>
      <c r="Z55" s="164"/>
      <c r="AA55" s="164"/>
      <c r="AB55" s="164"/>
      <c r="AC55" s="164"/>
      <c r="AD55" s="164"/>
      <c r="AE55" s="164"/>
      <c r="AF55" s="164"/>
      <c r="AG55" s="230"/>
      <c r="AH55" s="277"/>
      <c r="AI55" s="277"/>
      <c r="AJ55" s="277"/>
      <c r="AK55" s="277"/>
      <c r="AL55" s="277"/>
      <c r="AM55" s="271"/>
      <c r="AN55" s="164"/>
      <c r="AO55" s="164"/>
      <c r="AP55" s="164"/>
      <c r="AQ55" s="164"/>
      <c r="AR55" s="328"/>
      <c r="AS55" s="328"/>
      <c r="AT55" s="328"/>
      <c r="AU55" s="328"/>
      <c r="AV55" s="328"/>
      <c r="AW55" s="277"/>
      <c r="AX55" s="277"/>
      <c r="AY55" s="277"/>
      <c r="AZ55" s="277"/>
      <c r="BA55" s="277"/>
      <c r="BB55" s="335"/>
      <c r="BC55" s="335"/>
      <c r="BD55" s="335"/>
      <c r="BE55" s="335"/>
      <c r="BF55" s="347"/>
      <c r="BG55" s="340"/>
      <c r="BH55" s="341"/>
      <c r="BI55" s="341"/>
      <c r="BJ55" s="341"/>
      <c r="BK55" s="342"/>
      <c r="BL55" s="334"/>
      <c r="BM55" s="335"/>
      <c r="BN55" s="335"/>
      <c r="BO55" s="335"/>
      <c r="BP55" s="336"/>
      <c r="BQ55" s="297"/>
      <c r="BR55" s="298"/>
      <c r="BS55" s="298"/>
      <c r="BT55" s="298"/>
      <c r="BU55" s="298"/>
      <c r="BV55" s="298"/>
      <c r="BW55" s="299"/>
      <c r="BX55" s="447" t="str">
        <f t="shared" ref="BX55" si="49">IF(ISERROR(IF(VLOOKUP($CF55,$CS$66:$DH$106,COLUMNS($CS$66:$DF$66),FALSE)="ja","!","")),"",IF(VLOOKUP($CF55,$CS$66:$DH$106,COLUMNS($CS$66:$DF$66),FALSE)="ja","!",""))</f>
        <v/>
      </c>
      <c r="BY55" s="106"/>
      <c r="BZ55" s="107"/>
      <c r="CA55" s="107"/>
      <c r="CB55" s="107"/>
      <c r="CC55" s="107"/>
      <c r="CD55" s="107"/>
      <c r="CE55" s="107"/>
      <c r="CF55" s="111" t="str">
        <f>IF(VLOOKUP($CM55,$CR$66:$DH$106,COLUMNS($CR$66:$DA$66),FALSE)=NameSpieler2,VLOOKUP($CM55,$CR$66:$DH$106,COLUMNS($CR$67:$CS$67),FALSE),"")</f>
        <v/>
      </c>
      <c r="CG55" s="111"/>
      <c r="CH55" s="111"/>
      <c r="CI55" s="111"/>
      <c r="CJ55" s="111"/>
      <c r="CK55" s="111"/>
      <c r="CL55" s="112"/>
      <c r="CM55" s="110">
        <v>36</v>
      </c>
      <c r="CN55" s="6"/>
      <c r="CO55" s="6"/>
    </row>
    <row r="56" spans="1:129" ht="9" customHeight="1" thickBot="1" x14ac:dyDescent="0.25">
      <c r="A56" s="110"/>
      <c r="B56" s="393"/>
      <c r="C56" s="394"/>
      <c r="D56" s="394"/>
      <c r="E56" s="394"/>
      <c r="F56" s="394"/>
      <c r="G56" s="394"/>
      <c r="H56" s="394"/>
      <c r="I56" s="436" t="s">
        <v>68</v>
      </c>
      <c r="J56" s="436"/>
      <c r="K56" s="436"/>
      <c r="L56" s="436"/>
      <c r="M56" s="436"/>
      <c r="N56" s="436"/>
      <c r="O56" s="437"/>
      <c r="P56" s="129"/>
      <c r="Q56" s="406"/>
      <c r="R56" s="407"/>
      <c r="S56" s="407"/>
      <c r="T56" s="407"/>
      <c r="U56" s="401"/>
      <c r="V56" s="402"/>
      <c r="W56" s="403"/>
      <c r="X56" s="159">
        <f>IF(VLOOKUP(X54,$CS$66:$DH$106,COLUMNS($CS$66:$DA$66),FALSE)=NameSpieler1,NameSpieler1,IF(VLOOKUP(X54,$CS$66:$DH$106,COLUMNS($CS$66:$DA$66),FALSE)=NameSpieler2,NameSpieler2,VLOOKUP(X54,$CS$66:$CT$106,2,FALSE)))</f>
        <v>1200</v>
      </c>
      <c r="Y56" s="160"/>
      <c r="Z56" s="160"/>
      <c r="AA56" s="160"/>
      <c r="AB56" s="160"/>
      <c r="AC56" s="160">
        <f>IF(VLOOKUP(AC54,$CS$66:$DH$106,COLUMNS($CS$66:$DA$66),FALSE)=NameSpieler1,NameSpieler1,IF(VLOOKUP(AC54,$CS$66:$DH$106,COLUMNS($CS$66:$DA$66),FALSE)=NameSpieler2,NameSpieler2,VLOOKUP(AC54,$CS$66:$CT$106,2,FALSE)))</f>
        <v>1000</v>
      </c>
      <c r="AD56" s="160"/>
      <c r="AE56" s="160"/>
      <c r="AF56" s="160"/>
      <c r="AG56" s="165"/>
      <c r="AH56" s="277"/>
      <c r="AI56" s="277"/>
      <c r="AJ56" s="277"/>
      <c r="AK56" s="277"/>
      <c r="AL56" s="277"/>
      <c r="AM56" s="282">
        <f>IF(VLOOKUP(AM54,$CS$66:$DH$106,COLUMNS($CS$66:$DA$66),FALSE)=NameSpieler1,NameSpieler1,IF(VLOOKUP(AM54,$CS$66:$DH$106,COLUMNS($CS$66:$DA$66),FALSE)=NameSpieler2,NameSpieler2,VLOOKUP(AM54,$CS$66:$CT$106,2,FALSE)))</f>
        <v>1000</v>
      </c>
      <c r="AN56" s="160"/>
      <c r="AO56" s="160"/>
      <c r="AP56" s="160"/>
      <c r="AQ56" s="160"/>
      <c r="AR56" s="160">
        <f>IF(VLOOKUP(AR54,$CS$66:$DH$106,COLUMNS($CS$66:$DA$66),FALSE)=NameSpieler1,NameSpieler1,IF(VLOOKUP(AR54,$CS$66:$DH$106,COLUMNS($CS$66:$DA$66),FALSE)=NameSpieler2,NameSpieler2,VLOOKUP(AR54,$CS$66:$CT$106,2,FALSE)))</f>
        <v>2000</v>
      </c>
      <c r="AS56" s="160"/>
      <c r="AT56" s="160"/>
      <c r="AU56" s="160"/>
      <c r="AV56" s="160"/>
      <c r="AW56" s="277"/>
      <c r="AX56" s="277"/>
      <c r="AY56" s="277"/>
      <c r="AZ56" s="277"/>
      <c r="BA56" s="277"/>
      <c r="BB56" s="165">
        <f>IF(VLOOKUP(BB54,$CS$66:$DH$106,COLUMNS($CS$66:$DA$66),FALSE)=NameSpieler1,NameSpieler1,IF(VLOOKUP(BB54,$CS$66:$DH$106,COLUMNS($CS$66:$DA$66),FALSE)=NameSpieler2,NameSpieler2,VLOOKUP(BB54,$CS$66:$CT$106,2,FALSE)))</f>
        <v>600</v>
      </c>
      <c r="BC56" s="281"/>
      <c r="BD56" s="281"/>
      <c r="BE56" s="281"/>
      <c r="BF56" s="281"/>
      <c r="BG56" s="340"/>
      <c r="BH56" s="341"/>
      <c r="BI56" s="341"/>
      <c r="BJ56" s="341"/>
      <c r="BK56" s="342"/>
      <c r="BL56" s="281">
        <f>IF(VLOOKUP(BL54,$CS$66:$DH$106,COLUMNS($CS$66:$DA$66),FALSE)=NameSpieler1,NameSpieler1,IF(VLOOKUP(BL54,$CS$66:$DH$106,COLUMNS($CS$66:$DA$66),FALSE)=NameSpieler2,NameSpieler2,VLOOKUP(BL54,$CS$66:$CT$106,2,FALSE)))</f>
        <v>600</v>
      </c>
      <c r="BM56" s="281"/>
      <c r="BN56" s="281"/>
      <c r="BO56" s="281"/>
      <c r="BP56" s="282"/>
      <c r="BQ56" s="297"/>
      <c r="BR56" s="298"/>
      <c r="BS56" s="298"/>
      <c r="BT56" s="298"/>
      <c r="BU56" s="298"/>
      <c r="BV56" s="298"/>
      <c r="BW56" s="299"/>
      <c r="BX56" s="447"/>
      <c r="BY56" s="469" t="s">
        <v>68</v>
      </c>
      <c r="BZ56" s="470"/>
      <c r="CA56" s="470"/>
      <c r="CB56" s="470"/>
      <c r="CC56" s="470"/>
      <c r="CD56" s="470"/>
      <c r="CE56" s="470"/>
      <c r="CF56" s="111"/>
      <c r="CG56" s="111"/>
      <c r="CH56" s="111"/>
      <c r="CI56" s="111"/>
      <c r="CJ56" s="111"/>
      <c r="CK56" s="111"/>
      <c r="CL56" s="112"/>
      <c r="CM56" s="110"/>
      <c r="CN56" s="6"/>
      <c r="CO56" s="6"/>
    </row>
    <row r="57" spans="1:129" ht="9" customHeight="1" x14ac:dyDescent="0.2">
      <c r="A57" s="110">
        <v>13</v>
      </c>
      <c r="B57" s="421" t="str">
        <f>IF(VLOOKUP($A57,$CR$66:$DH$106,COLUMNS($CR$66:$DA$66),FALSE)=NameSpieler1,VLOOKUP($A57,$CR$66:$DH$106,COLUMNS($CR$67:$CS$67),FALSE),"")</f>
        <v/>
      </c>
      <c r="C57" s="422"/>
      <c r="D57" s="422"/>
      <c r="E57" s="422"/>
      <c r="F57" s="422"/>
      <c r="G57" s="422"/>
      <c r="H57" s="423"/>
      <c r="I57" s="427">
        <v>15000</v>
      </c>
      <c r="J57" s="428"/>
      <c r="K57" s="428"/>
      <c r="L57" s="428"/>
      <c r="M57" s="428"/>
      <c r="N57" s="428"/>
      <c r="O57" s="429"/>
      <c r="P57" s="129" t="str">
        <f t="shared" ref="P57" si="50">IF(ISERROR(IF(VLOOKUP($B57,$CS$66:$DH$106,COLUMNS($CS$66:$DF$66),FALSE)="ja","!","")),"",IF(VLOOKUP($B57,$CS$66:$DH$106,COLUMNS($CS$66:$DF$66),FALSE)="ja","!",""))</f>
        <v/>
      </c>
      <c r="Q57" s="406"/>
      <c r="R57" s="407"/>
      <c r="S57" s="407"/>
      <c r="T57" s="407"/>
      <c r="U57" s="234"/>
      <c r="V57" s="234"/>
      <c r="W57" s="235"/>
      <c r="X57" s="155"/>
      <c r="Y57" s="156"/>
      <c r="Z57" s="156"/>
      <c r="AA57" s="156"/>
      <c r="AB57" s="156"/>
      <c r="AC57" s="156"/>
      <c r="AD57" s="166"/>
      <c r="AE57" s="166"/>
      <c r="AF57" s="166"/>
      <c r="AG57" s="167"/>
      <c r="AH57" s="277"/>
      <c r="AI57" s="277"/>
      <c r="AJ57" s="277"/>
      <c r="AK57" s="277"/>
      <c r="AL57" s="277"/>
      <c r="AM57" s="324"/>
      <c r="AN57" s="166"/>
      <c r="AO57" s="166"/>
      <c r="AP57" s="166"/>
      <c r="AQ57" s="166"/>
      <c r="AR57" s="156"/>
      <c r="AS57" s="156"/>
      <c r="AT57" s="156"/>
      <c r="AU57" s="156"/>
      <c r="AV57" s="156"/>
      <c r="AW57" s="277"/>
      <c r="AX57" s="277"/>
      <c r="AY57" s="277"/>
      <c r="AZ57" s="277"/>
      <c r="BA57" s="277"/>
      <c r="BB57" s="156"/>
      <c r="BC57" s="166"/>
      <c r="BD57" s="166"/>
      <c r="BE57" s="166"/>
      <c r="BF57" s="167"/>
      <c r="BG57" s="340"/>
      <c r="BH57" s="341"/>
      <c r="BI57" s="341"/>
      <c r="BJ57" s="341"/>
      <c r="BK57" s="342"/>
      <c r="BL57" s="156"/>
      <c r="BM57" s="166"/>
      <c r="BN57" s="166"/>
      <c r="BO57" s="166"/>
      <c r="BP57" s="167"/>
      <c r="BQ57" s="297"/>
      <c r="BR57" s="298"/>
      <c r="BS57" s="298"/>
      <c r="BT57" s="298"/>
      <c r="BU57" s="298"/>
      <c r="BV57" s="298"/>
      <c r="BW57" s="299"/>
      <c r="BX57" s="447" t="str">
        <f t="shared" ref="BX57" si="51">IF(ISERROR(IF(VLOOKUP($CF57,$CS$66:$DH$106,COLUMNS($CS$66:$DF$66),FALSE)="ja","!","")),"",IF(VLOOKUP($CF57,$CS$66:$DH$106,COLUMNS($CS$66:$DF$66),FALSE)="ja","!",""))</f>
        <v/>
      </c>
      <c r="BY57" s="460">
        <v>15000</v>
      </c>
      <c r="BZ57" s="461"/>
      <c r="CA57" s="461"/>
      <c r="CB57" s="461"/>
      <c r="CC57" s="461"/>
      <c r="CD57" s="461"/>
      <c r="CE57" s="462"/>
      <c r="CF57" s="471" t="str">
        <f>IF(VLOOKUP($CM57,$CR$66:$DH$106,COLUMNS($CR$66:$DA$66),FALSE)=NameSpieler2,VLOOKUP($CM57,$CR$66:$DH$106,COLUMNS($CR$67:$CS$67),FALSE),"")</f>
        <v/>
      </c>
      <c r="CG57" s="471"/>
      <c r="CH57" s="471"/>
      <c r="CI57" s="471"/>
      <c r="CJ57" s="471"/>
      <c r="CK57" s="471"/>
      <c r="CL57" s="472"/>
      <c r="CM57" s="459">
        <v>13</v>
      </c>
      <c r="CN57" s="35"/>
      <c r="CO57" s="35"/>
      <c r="CP57" s="36"/>
      <c r="CQ57" s="36"/>
      <c r="CR57" s="36"/>
      <c r="CS57" s="36"/>
      <c r="CT57" s="36"/>
      <c r="CU57" s="36"/>
      <c r="CV57" s="36"/>
      <c r="CW57" s="36"/>
      <c r="CX57" s="36"/>
      <c r="CY57" s="36"/>
      <c r="CZ57" s="36"/>
      <c r="DA57" s="36"/>
      <c r="DB57" s="36"/>
      <c r="DC57" s="36"/>
      <c r="DD57" s="36"/>
      <c r="DE57" s="36"/>
      <c r="DF57" s="36"/>
      <c r="DG57" s="36"/>
      <c r="DH57" s="36"/>
      <c r="DI57" s="36"/>
      <c r="DJ57" s="36"/>
      <c r="DK57" s="36"/>
      <c r="DL57" s="36"/>
      <c r="DM57" s="36"/>
      <c r="DN57" s="36"/>
      <c r="DO57" s="36"/>
      <c r="DP57" s="36"/>
      <c r="DQ57" s="36"/>
      <c r="DR57" s="36"/>
      <c r="DS57" s="36"/>
      <c r="DT57" s="36"/>
      <c r="DU57" s="36"/>
      <c r="DV57" s="36"/>
      <c r="DW57" s="36"/>
      <c r="DX57" s="36"/>
      <c r="DY57" s="36"/>
    </row>
    <row r="58" spans="1:129" ht="9" customHeight="1" x14ac:dyDescent="0.2">
      <c r="A58" s="110"/>
      <c r="B58" s="421"/>
      <c r="C58" s="422"/>
      <c r="D58" s="422"/>
      <c r="E58" s="422"/>
      <c r="F58" s="422"/>
      <c r="G58" s="422"/>
      <c r="H58" s="423"/>
      <c r="I58" s="430"/>
      <c r="J58" s="431"/>
      <c r="K58" s="431"/>
      <c r="L58" s="431"/>
      <c r="M58" s="431"/>
      <c r="N58" s="431"/>
      <c r="O58" s="432"/>
      <c r="P58" s="129"/>
      <c r="Q58" s="406"/>
      <c r="R58" s="407"/>
      <c r="S58" s="407"/>
      <c r="T58" s="407"/>
      <c r="U58" s="237"/>
      <c r="V58" s="237"/>
      <c r="W58" s="238"/>
      <c r="X58" s="155"/>
      <c r="Y58" s="156"/>
      <c r="Z58" s="156"/>
      <c r="AA58" s="156"/>
      <c r="AB58" s="156"/>
      <c r="AC58" s="166"/>
      <c r="AD58" s="166"/>
      <c r="AE58" s="166"/>
      <c r="AF58" s="166"/>
      <c r="AG58" s="167"/>
      <c r="AH58" s="277"/>
      <c r="AI58" s="277"/>
      <c r="AJ58" s="277"/>
      <c r="AK58" s="277"/>
      <c r="AL58" s="277"/>
      <c r="AM58" s="325"/>
      <c r="AN58" s="166"/>
      <c r="AO58" s="166"/>
      <c r="AP58" s="166"/>
      <c r="AQ58" s="166"/>
      <c r="AR58" s="156"/>
      <c r="AS58" s="156"/>
      <c r="AT58" s="156"/>
      <c r="AU58" s="156"/>
      <c r="AV58" s="156"/>
      <c r="AW58" s="277"/>
      <c r="AX58" s="277"/>
      <c r="AY58" s="277"/>
      <c r="AZ58" s="277"/>
      <c r="BA58" s="277"/>
      <c r="BB58" s="166"/>
      <c r="BC58" s="166"/>
      <c r="BD58" s="166"/>
      <c r="BE58" s="166"/>
      <c r="BF58" s="167"/>
      <c r="BG58" s="340"/>
      <c r="BH58" s="341"/>
      <c r="BI58" s="341"/>
      <c r="BJ58" s="341"/>
      <c r="BK58" s="342"/>
      <c r="BL58" s="166"/>
      <c r="BM58" s="166"/>
      <c r="BN58" s="166"/>
      <c r="BO58" s="166"/>
      <c r="BP58" s="167"/>
      <c r="BQ58" s="297"/>
      <c r="BR58" s="298"/>
      <c r="BS58" s="298"/>
      <c r="BT58" s="298"/>
      <c r="BU58" s="298"/>
      <c r="BV58" s="298"/>
      <c r="BW58" s="299"/>
      <c r="BX58" s="447"/>
      <c r="BY58" s="463"/>
      <c r="BZ58" s="464"/>
      <c r="CA58" s="464"/>
      <c r="CB58" s="464"/>
      <c r="CC58" s="464"/>
      <c r="CD58" s="464"/>
      <c r="CE58" s="465"/>
      <c r="CF58" s="471"/>
      <c r="CG58" s="471"/>
      <c r="CH58" s="471"/>
      <c r="CI58" s="471"/>
      <c r="CJ58" s="471"/>
      <c r="CK58" s="471"/>
      <c r="CL58" s="472"/>
      <c r="CM58" s="459"/>
      <c r="CN58" s="35"/>
      <c r="CO58" s="35"/>
      <c r="CP58" s="36"/>
      <c r="CQ58" s="36"/>
      <c r="CR58" s="36"/>
      <c r="CS58" s="36"/>
      <c r="CT58" s="36"/>
      <c r="CU58" s="36"/>
      <c r="CV58" s="36"/>
      <c r="CW58" s="36"/>
      <c r="CX58" s="36"/>
      <c r="CY58" s="36"/>
      <c r="CZ58" s="36"/>
      <c r="DA58" s="36"/>
      <c r="DB58" s="36"/>
      <c r="DC58" s="36"/>
      <c r="DD58" s="36"/>
      <c r="DE58" s="36"/>
      <c r="DF58" s="36"/>
      <c r="DG58" s="36"/>
      <c r="DH58" s="36"/>
      <c r="DI58" s="36"/>
      <c r="DJ58" s="36"/>
      <c r="DK58" s="36"/>
      <c r="DL58" s="36"/>
      <c r="DM58" s="36"/>
      <c r="DN58" s="36"/>
      <c r="DO58" s="36"/>
      <c r="DP58" s="36"/>
      <c r="DQ58" s="36"/>
      <c r="DR58" s="36"/>
      <c r="DS58" s="36"/>
      <c r="DT58" s="36"/>
      <c r="DU58" s="36"/>
      <c r="DV58" s="36"/>
      <c r="DW58" s="36"/>
      <c r="DX58" s="36"/>
      <c r="DY58" s="36"/>
    </row>
    <row r="59" spans="1:129" ht="9" customHeight="1" x14ac:dyDescent="0.2">
      <c r="A59" s="110">
        <v>29</v>
      </c>
      <c r="B59" s="421" t="str">
        <f>IF(VLOOKUP($A59,$CR$66:$DH$106,COLUMNS($CR$66:$DA$66),FALSE)=NameSpieler1,VLOOKUP($A59,$CR$66:$DH$106,COLUMNS($CR$67:$CS$67),FALSE),"")</f>
        <v/>
      </c>
      <c r="C59" s="422"/>
      <c r="D59" s="422"/>
      <c r="E59" s="422"/>
      <c r="F59" s="422"/>
      <c r="G59" s="422"/>
      <c r="H59" s="423"/>
      <c r="I59" s="430"/>
      <c r="J59" s="431"/>
      <c r="K59" s="431"/>
      <c r="L59" s="431"/>
      <c r="M59" s="431"/>
      <c r="N59" s="431"/>
      <c r="O59" s="432"/>
      <c r="P59" s="129" t="str">
        <f t="shared" ref="P59" si="52">IF(ISERROR(IF(VLOOKUP($B59,$CS$66:$DH$106,COLUMNS($CS$66:$DF$66),FALSE)="ja","!","")),"",IF(VLOOKUP($B59,$CS$66:$DH$106,COLUMNS($CS$66:$DF$66),FALSE)="ja","!",""))</f>
        <v/>
      </c>
      <c r="Q59" s="406"/>
      <c r="R59" s="407"/>
      <c r="S59" s="407"/>
      <c r="T59" s="407"/>
      <c r="U59" s="237"/>
      <c r="V59" s="237"/>
      <c r="W59" s="238"/>
      <c r="X59" s="155"/>
      <c r="Y59" s="156"/>
      <c r="Z59" s="156"/>
      <c r="AA59" s="156"/>
      <c r="AB59" s="156"/>
      <c r="AC59" s="166"/>
      <c r="AD59" s="166"/>
      <c r="AE59" s="166"/>
      <c r="AF59" s="166"/>
      <c r="AG59" s="167"/>
      <c r="AH59" s="277"/>
      <c r="AI59" s="277"/>
      <c r="AJ59" s="277"/>
      <c r="AK59" s="277"/>
      <c r="AL59" s="277"/>
      <c r="AM59" s="325"/>
      <c r="AN59" s="166"/>
      <c r="AO59" s="166"/>
      <c r="AP59" s="166"/>
      <c r="AQ59" s="166"/>
      <c r="AR59" s="156"/>
      <c r="AS59" s="156"/>
      <c r="AT59" s="156"/>
      <c r="AU59" s="156"/>
      <c r="AV59" s="156"/>
      <c r="AW59" s="277"/>
      <c r="AX59" s="277"/>
      <c r="AY59" s="277"/>
      <c r="AZ59" s="277"/>
      <c r="BA59" s="277"/>
      <c r="BB59" s="166"/>
      <c r="BC59" s="166"/>
      <c r="BD59" s="166"/>
      <c r="BE59" s="166"/>
      <c r="BF59" s="167"/>
      <c r="BG59" s="340"/>
      <c r="BH59" s="341"/>
      <c r="BI59" s="341"/>
      <c r="BJ59" s="341"/>
      <c r="BK59" s="342"/>
      <c r="BL59" s="166"/>
      <c r="BM59" s="166"/>
      <c r="BN59" s="166"/>
      <c r="BO59" s="166"/>
      <c r="BP59" s="167"/>
      <c r="BQ59" s="297"/>
      <c r="BR59" s="298"/>
      <c r="BS59" s="298"/>
      <c r="BT59" s="298"/>
      <c r="BU59" s="298"/>
      <c r="BV59" s="298"/>
      <c r="BW59" s="299"/>
      <c r="BX59" s="447" t="str">
        <f t="shared" ref="BX59" si="53">IF(ISERROR(IF(VLOOKUP($CF59,$CS$66:$DH$106,COLUMNS($CS$66:$DF$66),FALSE)="ja","!","")),"",IF(VLOOKUP($CF59,$CS$66:$DH$106,COLUMNS($CS$66:$DF$66),FALSE)="ja","!",""))</f>
        <v/>
      </c>
      <c r="BY59" s="463"/>
      <c r="BZ59" s="464"/>
      <c r="CA59" s="464"/>
      <c r="CB59" s="464"/>
      <c r="CC59" s="464"/>
      <c r="CD59" s="464"/>
      <c r="CE59" s="465"/>
      <c r="CF59" s="471" t="str">
        <f>IF(VLOOKUP($CM59,$CR$66:$DH$106,COLUMNS($CR$66:$DA$66),FALSE)=NameSpieler2,VLOOKUP($CM59,$CR$66:$DH$106,COLUMNS($CR$67:$CS$67),FALSE),"")</f>
        <v/>
      </c>
      <c r="CG59" s="471"/>
      <c r="CH59" s="471"/>
      <c r="CI59" s="471"/>
      <c r="CJ59" s="471"/>
      <c r="CK59" s="471"/>
      <c r="CL59" s="472"/>
      <c r="CM59" s="459">
        <v>29</v>
      </c>
      <c r="CN59" s="35"/>
      <c r="CO59" s="35"/>
      <c r="CP59" s="36"/>
      <c r="CQ59" s="36"/>
      <c r="CR59" s="36"/>
      <c r="CS59" s="36"/>
      <c r="CT59" s="36"/>
      <c r="CU59" s="36"/>
      <c r="CV59" s="36"/>
      <c r="CW59" s="36"/>
      <c r="CX59" s="36"/>
      <c r="CY59" s="36"/>
      <c r="CZ59" s="36"/>
      <c r="DA59" s="36"/>
      <c r="DB59" s="36"/>
      <c r="DC59" s="36"/>
      <c r="DD59" s="36"/>
      <c r="DE59" s="36"/>
      <c r="DF59" s="36"/>
      <c r="DG59" s="36"/>
      <c r="DH59" s="36"/>
      <c r="DI59" s="36"/>
      <c r="DJ59" s="36"/>
      <c r="DK59" s="36"/>
      <c r="DL59" s="36"/>
      <c r="DM59" s="36"/>
      <c r="DN59" s="36"/>
      <c r="DO59" s="36"/>
      <c r="DP59" s="36"/>
      <c r="DQ59" s="36"/>
      <c r="DR59" s="36"/>
      <c r="DS59" s="36"/>
      <c r="DT59" s="36"/>
      <c r="DU59" s="36"/>
      <c r="DV59" s="36"/>
      <c r="DW59" s="36"/>
      <c r="DX59" s="36"/>
      <c r="DY59" s="36"/>
    </row>
    <row r="60" spans="1:129" ht="9" customHeight="1" thickBot="1" x14ac:dyDescent="0.25">
      <c r="A60" s="110"/>
      <c r="B60" s="424"/>
      <c r="C60" s="425"/>
      <c r="D60" s="425"/>
      <c r="E60" s="425"/>
      <c r="F60" s="425"/>
      <c r="G60" s="425"/>
      <c r="H60" s="426"/>
      <c r="I60" s="433"/>
      <c r="J60" s="434"/>
      <c r="K60" s="434"/>
      <c r="L60" s="434"/>
      <c r="M60" s="434"/>
      <c r="N60" s="434"/>
      <c r="O60" s="435"/>
      <c r="P60" s="129"/>
      <c r="Q60" s="408"/>
      <c r="R60" s="409"/>
      <c r="S60" s="409"/>
      <c r="T60" s="409"/>
      <c r="U60" s="410"/>
      <c r="V60" s="410"/>
      <c r="W60" s="411"/>
      <c r="X60" s="157"/>
      <c r="Y60" s="158"/>
      <c r="Z60" s="158"/>
      <c r="AA60" s="158"/>
      <c r="AB60" s="158"/>
      <c r="AC60" s="168"/>
      <c r="AD60" s="168"/>
      <c r="AE60" s="168"/>
      <c r="AF60" s="168"/>
      <c r="AG60" s="169"/>
      <c r="AH60" s="278"/>
      <c r="AI60" s="278"/>
      <c r="AJ60" s="278"/>
      <c r="AK60" s="278"/>
      <c r="AL60" s="278"/>
      <c r="AM60" s="326"/>
      <c r="AN60" s="168"/>
      <c r="AO60" s="168"/>
      <c r="AP60" s="168"/>
      <c r="AQ60" s="168"/>
      <c r="AR60" s="158"/>
      <c r="AS60" s="158"/>
      <c r="AT60" s="158"/>
      <c r="AU60" s="158"/>
      <c r="AV60" s="158"/>
      <c r="AW60" s="278"/>
      <c r="AX60" s="278"/>
      <c r="AY60" s="278"/>
      <c r="AZ60" s="278"/>
      <c r="BA60" s="278"/>
      <c r="BB60" s="168"/>
      <c r="BC60" s="168"/>
      <c r="BD60" s="168"/>
      <c r="BE60" s="168"/>
      <c r="BF60" s="169"/>
      <c r="BG60" s="343"/>
      <c r="BH60" s="344"/>
      <c r="BI60" s="344"/>
      <c r="BJ60" s="344"/>
      <c r="BK60" s="345"/>
      <c r="BL60" s="168"/>
      <c r="BM60" s="168"/>
      <c r="BN60" s="168"/>
      <c r="BO60" s="168"/>
      <c r="BP60" s="169"/>
      <c r="BQ60" s="300"/>
      <c r="BR60" s="301"/>
      <c r="BS60" s="301"/>
      <c r="BT60" s="301"/>
      <c r="BU60" s="301"/>
      <c r="BV60" s="301"/>
      <c r="BW60" s="302"/>
      <c r="BX60" s="447"/>
      <c r="BY60" s="466"/>
      <c r="BZ60" s="467"/>
      <c r="CA60" s="467"/>
      <c r="CB60" s="467"/>
      <c r="CC60" s="467"/>
      <c r="CD60" s="467"/>
      <c r="CE60" s="468"/>
      <c r="CF60" s="473"/>
      <c r="CG60" s="473"/>
      <c r="CH60" s="473"/>
      <c r="CI60" s="473"/>
      <c r="CJ60" s="473"/>
      <c r="CK60" s="473"/>
      <c r="CL60" s="474"/>
      <c r="CM60" s="459"/>
      <c r="CN60" s="35"/>
      <c r="CO60" s="35"/>
      <c r="CP60" s="36"/>
      <c r="CQ60" s="36"/>
      <c r="CR60" s="36"/>
      <c r="CS60" s="36"/>
      <c r="CT60" s="36"/>
      <c r="CU60" s="36"/>
      <c r="CV60" s="36"/>
      <c r="CW60" s="36"/>
      <c r="CX60" s="36"/>
      <c r="CY60" s="36"/>
      <c r="CZ60" s="36"/>
      <c r="DA60" s="36"/>
      <c r="DB60" s="36"/>
      <c r="DC60" s="36"/>
      <c r="DD60" s="36"/>
      <c r="DE60" s="36"/>
      <c r="DF60" s="36"/>
      <c r="DG60" s="36"/>
      <c r="DH60" s="36"/>
      <c r="DI60" s="36"/>
      <c r="DJ60" s="36"/>
      <c r="DK60" s="36"/>
      <c r="DL60" s="36"/>
      <c r="DM60" s="36"/>
      <c r="DN60" s="36"/>
      <c r="DO60" s="36"/>
      <c r="DP60" s="36"/>
      <c r="DQ60" s="36"/>
      <c r="DR60" s="36"/>
      <c r="DS60" s="36"/>
      <c r="DT60" s="36"/>
      <c r="DU60" s="36"/>
      <c r="DV60" s="36"/>
      <c r="DW60" s="36"/>
      <c r="DX60" s="36"/>
      <c r="DY60" s="36"/>
    </row>
    <row r="61" spans="1:129" ht="9" customHeight="1" x14ac:dyDescent="0.2">
      <c r="Q61" s="2"/>
      <c r="R61" s="2"/>
      <c r="S61" s="2"/>
      <c r="T61" s="2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4"/>
      <c r="AI61" s="4"/>
      <c r="AJ61" s="4"/>
      <c r="AK61" s="4"/>
      <c r="AL61" s="4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4"/>
      <c r="AX61" s="4"/>
      <c r="AY61" s="4"/>
      <c r="AZ61" s="4"/>
      <c r="BA61" s="4"/>
      <c r="BB61" s="3"/>
      <c r="BC61" s="3"/>
      <c r="BD61" s="3"/>
      <c r="BE61" s="3"/>
      <c r="BF61" s="3"/>
      <c r="BG61" s="4"/>
      <c r="BH61" s="4"/>
      <c r="BI61" s="4"/>
      <c r="BJ61" s="4"/>
      <c r="BK61" s="4"/>
      <c r="BL61" s="3"/>
      <c r="BM61" s="3"/>
      <c r="BN61" s="3"/>
      <c r="BO61" s="3"/>
      <c r="BP61" s="3"/>
      <c r="BQ61" s="5"/>
      <c r="BR61" s="5"/>
      <c r="BS61" s="5"/>
      <c r="BT61" s="5"/>
      <c r="BU61" s="5"/>
      <c r="BV61" s="5"/>
      <c r="BW61" s="5"/>
      <c r="CF61" s="36"/>
      <c r="CG61" s="36"/>
      <c r="CH61" s="36"/>
      <c r="CI61" s="36"/>
      <c r="CJ61" s="36"/>
      <c r="CK61" s="36"/>
      <c r="CL61" s="36"/>
      <c r="CM61" s="37"/>
      <c r="CN61" s="36"/>
      <c r="CO61" s="36"/>
      <c r="CP61" s="36"/>
      <c r="CQ61" s="36"/>
      <c r="CR61" s="36"/>
      <c r="CS61" s="36"/>
      <c r="CT61" s="36"/>
      <c r="CU61" s="36"/>
      <c r="CV61" s="36"/>
      <c r="CW61" s="36"/>
      <c r="CX61" s="36"/>
      <c r="CY61" s="36"/>
      <c r="CZ61" s="36"/>
      <c r="DA61" s="36"/>
      <c r="DB61" s="36"/>
      <c r="DC61" s="36"/>
      <c r="DD61" s="36"/>
      <c r="DE61" s="36"/>
      <c r="DF61" s="36"/>
      <c r="DG61" s="36"/>
      <c r="DH61" s="36"/>
      <c r="DI61" s="36"/>
      <c r="DJ61" s="36"/>
      <c r="DK61" s="36"/>
      <c r="DL61" s="36"/>
      <c r="DM61" s="36"/>
      <c r="DN61" s="36"/>
      <c r="DO61" s="36"/>
      <c r="DP61" s="36"/>
      <c r="DQ61" s="36"/>
      <c r="DR61" s="36"/>
      <c r="DS61" s="36"/>
      <c r="DT61" s="36"/>
      <c r="DU61" s="36"/>
      <c r="DV61" s="36"/>
      <c r="DW61" s="36"/>
      <c r="DX61" s="36"/>
      <c r="DY61" s="36"/>
    </row>
    <row r="62" spans="1:129" ht="9" customHeight="1" x14ac:dyDescent="0.2">
      <c r="Q62" s="2"/>
      <c r="R62" s="2"/>
      <c r="S62" s="2"/>
      <c r="T62" s="2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4"/>
      <c r="AI62" s="4"/>
      <c r="AJ62" s="4"/>
      <c r="AK62" s="4"/>
      <c r="AL62" s="4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4"/>
      <c r="AX62" s="4"/>
      <c r="AY62" s="4"/>
      <c r="AZ62" s="4"/>
      <c r="BA62" s="4"/>
      <c r="BB62" s="3"/>
      <c r="BC62" s="3"/>
      <c r="BD62" s="3"/>
      <c r="BE62" s="3"/>
      <c r="BF62" s="3"/>
      <c r="BG62" s="4"/>
      <c r="BH62" s="4"/>
      <c r="BI62" s="4"/>
      <c r="BJ62" s="4"/>
      <c r="BK62" s="4"/>
      <c r="BL62" s="3"/>
      <c r="BM62" s="3"/>
      <c r="BN62" s="3"/>
      <c r="BO62" s="3"/>
      <c r="BP62" s="3"/>
      <c r="BQ62" s="5"/>
      <c r="BR62" s="5"/>
      <c r="BS62" s="5"/>
      <c r="BT62" s="5"/>
      <c r="BU62" s="5"/>
      <c r="BV62" s="5"/>
      <c r="BW62" s="5"/>
      <c r="CF62" s="36"/>
      <c r="CG62" s="36"/>
      <c r="CH62" s="36"/>
      <c r="CI62" s="36"/>
      <c r="CJ62" s="36"/>
      <c r="CK62" s="36"/>
      <c r="CL62" s="36"/>
      <c r="CM62" s="37"/>
      <c r="CN62" s="36"/>
      <c r="CO62" s="36"/>
      <c r="CP62" s="36"/>
      <c r="CQ62" s="36"/>
      <c r="CR62" s="36"/>
      <c r="CS62" s="36"/>
      <c r="CT62" s="36"/>
      <c r="CU62" s="36"/>
      <c r="CV62" s="36"/>
      <c r="CW62" s="36"/>
      <c r="CX62" s="36"/>
      <c r="CY62" s="36"/>
      <c r="CZ62" s="36"/>
      <c r="DA62" s="36"/>
      <c r="DB62" s="36"/>
      <c r="DC62" s="36"/>
      <c r="DD62" s="36"/>
      <c r="DE62" s="36"/>
      <c r="DF62" s="36"/>
      <c r="DG62" s="36"/>
      <c r="DH62" s="36"/>
      <c r="DI62" s="36"/>
      <c r="DJ62" s="36"/>
      <c r="DK62" s="36"/>
      <c r="DL62" s="36"/>
      <c r="DM62" s="36"/>
      <c r="DN62" s="36"/>
      <c r="DO62" s="36"/>
      <c r="DP62" s="36"/>
      <c r="DQ62" s="36"/>
      <c r="DR62" s="36"/>
      <c r="DS62" s="36"/>
      <c r="DT62" s="36"/>
      <c r="DU62" s="36"/>
      <c r="DV62" s="36"/>
      <c r="DW62" s="36"/>
      <c r="DX62" s="36"/>
      <c r="DY62" s="36"/>
    </row>
    <row r="63" spans="1:129" ht="9" hidden="1" customHeight="1" thickBot="1" x14ac:dyDescent="0.25">
      <c r="Q63" s="2"/>
      <c r="R63" s="2"/>
      <c r="S63" s="2"/>
      <c r="T63" s="2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4"/>
      <c r="AI63" s="4"/>
      <c r="AJ63" s="4"/>
      <c r="AK63" s="4"/>
      <c r="AL63" s="4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4"/>
      <c r="AX63" s="4"/>
      <c r="AY63" s="4"/>
      <c r="AZ63" s="4"/>
      <c r="BA63" s="4"/>
      <c r="BB63" s="3"/>
      <c r="BC63" s="3"/>
      <c r="BD63" s="3"/>
      <c r="BE63" s="3"/>
      <c r="BF63" s="3"/>
      <c r="BG63" s="4"/>
      <c r="BH63" s="4"/>
      <c r="BI63" s="4"/>
      <c r="BJ63" s="4"/>
      <c r="BK63" s="4"/>
      <c r="BL63" s="3"/>
      <c r="BM63" s="3"/>
      <c r="BN63" s="3"/>
      <c r="BO63" s="3"/>
      <c r="BP63" s="3"/>
      <c r="BQ63" s="5"/>
      <c r="BR63" s="5"/>
      <c r="BS63" s="5"/>
      <c r="BT63" s="5"/>
      <c r="BU63" s="5"/>
      <c r="BV63" s="5"/>
      <c r="BW63" s="5"/>
      <c r="CF63" s="36"/>
      <c r="CG63" s="36"/>
      <c r="CH63" s="36"/>
      <c r="CI63" s="36"/>
      <c r="CJ63" s="36"/>
      <c r="CK63" s="36"/>
      <c r="CL63" s="36"/>
      <c r="CM63" s="37"/>
      <c r="CN63" s="36"/>
      <c r="CO63" s="36"/>
      <c r="CP63" s="36"/>
      <c r="CQ63" s="36"/>
      <c r="CR63" s="36"/>
      <c r="CS63" s="36"/>
      <c r="CT63" s="36"/>
      <c r="CU63" s="36"/>
      <c r="CV63" s="36"/>
      <c r="CW63" s="36"/>
      <c r="CX63" s="36"/>
      <c r="CY63" s="36"/>
      <c r="CZ63" s="36"/>
      <c r="DA63" s="36"/>
      <c r="DB63" s="36"/>
      <c r="DC63" s="36"/>
      <c r="DD63" s="36"/>
      <c r="DE63" s="36"/>
      <c r="DF63" s="36"/>
      <c r="DG63" s="36"/>
      <c r="DH63" s="36"/>
      <c r="DI63" s="36"/>
      <c r="DJ63" s="36"/>
      <c r="DK63" s="36"/>
      <c r="DL63" s="36"/>
      <c r="DM63" s="36"/>
      <c r="DN63" s="36"/>
      <c r="DO63" s="36"/>
      <c r="DP63" s="36"/>
      <c r="DQ63" s="36"/>
      <c r="DR63" s="36"/>
      <c r="DS63" s="36"/>
      <c r="DT63" s="36"/>
      <c r="DU63" s="36"/>
      <c r="DV63" s="36"/>
      <c r="DW63" s="36"/>
      <c r="DX63" s="36"/>
      <c r="DY63" s="36"/>
    </row>
    <row r="64" spans="1:129" ht="13.5" hidden="1" thickBot="1" x14ac:dyDescent="0.25">
      <c r="CF64" s="36"/>
      <c r="CG64" s="36"/>
      <c r="CH64" s="36"/>
      <c r="CI64" s="36"/>
      <c r="CJ64" s="36"/>
      <c r="CK64" s="36"/>
      <c r="CL64" s="36"/>
      <c r="CM64" s="37"/>
      <c r="CN64" s="36"/>
      <c r="CO64" s="36"/>
      <c r="CP64" s="36"/>
      <c r="CQ64" s="36"/>
      <c r="CR64" s="38"/>
      <c r="CS64" s="39"/>
      <c r="CT64" s="40"/>
      <c r="CU64" s="457" t="s">
        <v>43</v>
      </c>
      <c r="CV64" s="455"/>
      <c r="CW64" s="455"/>
      <c r="CX64" s="455"/>
      <c r="CY64" s="455"/>
      <c r="CZ64" s="458"/>
      <c r="DA64" s="41"/>
      <c r="DB64" s="41"/>
      <c r="DC64" s="39"/>
      <c r="DD64" s="39"/>
      <c r="DE64" s="39"/>
      <c r="DF64" s="39"/>
      <c r="DG64" s="457" t="s">
        <v>55</v>
      </c>
      <c r="DH64" s="456"/>
      <c r="DI64" s="454" t="s">
        <v>75</v>
      </c>
      <c r="DJ64" s="455"/>
      <c r="DK64" s="456"/>
      <c r="DL64" s="36"/>
      <c r="DM64" s="42" t="s">
        <v>79</v>
      </c>
      <c r="DN64" s="43" t="str">
        <f>NameSpieler1</f>
        <v>Name Spieler 1</v>
      </c>
      <c r="DO64" s="36"/>
      <c r="DP64" s="36"/>
      <c r="DQ64" s="36"/>
      <c r="DR64" s="36"/>
      <c r="DS64" s="36"/>
      <c r="DT64" s="36"/>
      <c r="DU64" s="36"/>
      <c r="DV64" s="36"/>
      <c r="DW64" s="36"/>
      <c r="DX64" s="36"/>
      <c r="DY64" s="36"/>
    </row>
    <row r="65" spans="62:129" ht="13.5" hidden="1" thickBot="1" x14ac:dyDescent="0.25">
      <c r="CF65" s="36"/>
      <c r="CG65" s="36"/>
      <c r="CH65" s="36"/>
      <c r="CI65" s="36"/>
      <c r="CJ65" s="36"/>
      <c r="CK65" s="36"/>
      <c r="CL65" s="36"/>
      <c r="CM65" s="37"/>
      <c r="CN65" s="36"/>
      <c r="CO65" s="36"/>
      <c r="CP65" s="36"/>
      <c r="CQ65" s="36"/>
      <c r="CR65" s="44"/>
      <c r="CS65" s="45" t="s">
        <v>41</v>
      </c>
      <c r="CT65" s="45" t="s">
        <v>42</v>
      </c>
      <c r="CU65" s="46" t="s">
        <v>44</v>
      </c>
      <c r="CV65" s="46" t="s">
        <v>45</v>
      </c>
      <c r="CW65" s="46" t="s">
        <v>46</v>
      </c>
      <c r="CX65" s="46" t="s">
        <v>47</v>
      </c>
      <c r="CY65" s="46" t="s">
        <v>48</v>
      </c>
      <c r="CZ65" s="46" t="s">
        <v>49</v>
      </c>
      <c r="DA65" s="46" t="s">
        <v>52</v>
      </c>
      <c r="DB65" s="46" t="s">
        <v>69</v>
      </c>
      <c r="DC65" s="46" t="s">
        <v>50</v>
      </c>
      <c r="DD65" s="46" t="s">
        <v>51</v>
      </c>
      <c r="DE65" s="46" t="s">
        <v>56</v>
      </c>
      <c r="DF65" s="46" t="s">
        <v>57</v>
      </c>
      <c r="DG65" s="46" t="s">
        <v>53</v>
      </c>
      <c r="DH65" s="47" t="s">
        <v>54</v>
      </c>
      <c r="DI65" s="46" t="s">
        <v>76</v>
      </c>
      <c r="DJ65" s="46" t="s">
        <v>77</v>
      </c>
      <c r="DK65" s="47" t="s">
        <v>78</v>
      </c>
      <c r="DL65" s="36"/>
      <c r="DM65" s="48" t="s">
        <v>80</v>
      </c>
      <c r="DN65" s="49">
        <f>Barvermögen_S1</f>
        <v>15000</v>
      </c>
      <c r="DO65" s="36"/>
      <c r="DP65" s="36"/>
      <c r="DQ65" s="36"/>
      <c r="DR65" s="36"/>
      <c r="DS65" s="36"/>
      <c r="DT65" s="36"/>
      <c r="DU65" s="36"/>
      <c r="DV65" s="36"/>
      <c r="DW65" s="36"/>
      <c r="DX65" s="36"/>
      <c r="DY65" s="36"/>
    </row>
    <row r="66" spans="62:129" ht="12.75" hidden="1" x14ac:dyDescent="0.2">
      <c r="CF66" s="36"/>
      <c r="CG66" s="36"/>
      <c r="CH66" s="36"/>
      <c r="CI66" s="36"/>
      <c r="CJ66" s="36"/>
      <c r="CK66" s="36"/>
      <c r="CL66" s="36"/>
      <c r="CM66" s="37"/>
      <c r="CN66" s="36"/>
      <c r="CO66" s="36"/>
      <c r="CP66" s="36"/>
      <c r="CQ66" s="36"/>
      <c r="CR66" s="50">
        <v>1</v>
      </c>
      <c r="CS66" s="51" t="s">
        <v>29</v>
      </c>
      <c r="CT66" s="52"/>
      <c r="CU66" s="52"/>
      <c r="CV66" s="52"/>
      <c r="CW66" s="52"/>
      <c r="CX66" s="52"/>
      <c r="CY66" s="52"/>
      <c r="CZ66" s="52"/>
      <c r="DA66" s="53"/>
      <c r="DB66" s="53"/>
      <c r="DC66" s="54"/>
      <c r="DD66" s="55">
        <v>0</v>
      </c>
      <c r="DE66" s="56"/>
      <c r="DF66" s="55" t="s">
        <v>58</v>
      </c>
      <c r="DG66" s="53"/>
      <c r="DH66" s="57"/>
      <c r="DI66" s="58"/>
      <c r="DJ66" s="58"/>
      <c r="DK66" s="59"/>
      <c r="DL66" s="36"/>
      <c r="DM66" s="60" t="s">
        <v>81</v>
      </c>
      <c r="DN66" s="61">
        <f t="array" ref="DN66">SUM(((Besitzer=$DN$64)*$CT$66:$CT$106))</f>
        <v>0</v>
      </c>
      <c r="DO66" s="36"/>
      <c r="DP66" s="36"/>
      <c r="DQ66" s="36"/>
      <c r="DR66" s="36"/>
      <c r="DS66" s="36"/>
      <c r="DT66" s="36"/>
      <c r="DU66" s="36"/>
      <c r="DV66" s="36"/>
      <c r="DW66" s="36"/>
      <c r="DX66" s="36"/>
      <c r="DY66" s="36"/>
    </row>
    <row r="67" spans="62:129" ht="12.75" hidden="1" x14ac:dyDescent="0.2">
      <c r="CF67" s="36"/>
      <c r="CG67" s="36"/>
      <c r="CH67" s="36"/>
      <c r="CI67" s="36"/>
      <c r="CJ67" s="36"/>
      <c r="CK67" s="36"/>
      <c r="CL67" s="36"/>
      <c r="CM67" s="37"/>
      <c r="CN67" s="36"/>
      <c r="CO67" s="36"/>
      <c r="CP67" s="36"/>
      <c r="CQ67" s="36"/>
      <c r="CR67" s="62">
        <v>2</v>
      </c>
      <c r="CS67" s="63" t="s">
        <v>2</v>
      </c>
      <c r="CT67" s="64">
        <v>600</v>
      </c>
      <c r="CU67" s="64">
        <v>20</v>
      </c>
      <c r="CV67" s="64">
        <v>100</v>
      </c>
      <c r="CW67" s="64">
        <v>300</v>
      </c>
      <c r="CX67" s="64">
        <v>900</v>
      </c>
      <c r="CY67" s="64">
        <v>1600</v>
      </c>
      <c r="CZ67" s="64">
        <v>2500</v>
      </c>
      <c r="DA67" s="65"/>
      <c r="DB67" s="65" t="b">
        <f>AND(DA67&lt;&gt;"",DA67=DA69)</f>
        <v>0</v>
      </c>
      <c r="DC67" s="66">
        <v>500</v>
      </c>
      <c r="DD67" s="67">
        <v>0</v>
      </c>
      <c r="DE67" s="68">
        <v>300</v>
      </c>
      <c r="DF67" s="67" t="s">
        <v>58</v>
      </c>
      <c r="DG67" s="69">
        <v>5</v>
      </c>
      <c r="DH67" s="70">
        <v>12</v>
      </c>
      <c r="DI67" s="67">
        <v>190</v>
      </c>
      <c r="DJ67" s="67">
        <v>90</v>
      </c>
      <c r="DK67" s="71">
        <v>50</v>
      </c>
      <c r="DL67" s="36"/>
      <c r="DM67" s="60" t="s">
        <v>82</v>
      </c>
      <c r="DN67" s="61">
        <f t="array" ref="DN67">SUM(((Besitzer=$DN$64)*($DC$66:$DC$106*AnzahlHäuser)))</f>
        <v>0</v>
      </c>
      <c r="DO67" s="36"/>
      <c r="DP67" s="36"/>
      <c r="DQ67" s="36"/>
      <c r="DR67" s="36"/>
      <c r="DS67" s="36"/>
      <c r="DT67" s="36"/>
      <c r="DU67" s="36"/>
      <c r="DV67" s="36"/>
      <c r="DW67" s="36"/>
      <c r="DX67" s="36"/>
      <c r="DY67" s="36"/>
    </row>
    <row r="68" spans="62:129" ht="12.75" hidden="1" x14ac:dyDescent="0.2">
      <c r="BJ68" s="15"/>
      <c r="CF68" s="36"/>
      <c r="CG68" s="36"/>
      <c r="CH68" s="36"/>
      <c r="CI68" s="36"/>
      <c r="CJ68" s="36"/>
      <c r="CK68" s="36"/>
      <c r="CL68" s="36"/>
      <c r="CM68" s="37"/>
      <c r="CN68" s="36"/>
      <c r="CO68" s="36"/>
      <c r="CP68" s="36"/>
      <c r="CQ68" s="36"/>
      <c r="CR68" s="62">
        <v>3</v>
      </c>
      <c r="CS68" s="63" t="s">
        <v>30</v>
      </c>
      <c r="CT68" s="66"/>
      <c r="CU68" s="66"/>
      <c r="CV68" s="66"/>
      <c r="CW68" s="66"/>
      <c r="CX68" s="66"/>
      <c r="CY68" s="66"/>
      <c r="CZ68" s="66"/>
      <c r="DA68" s="65"/>
      <c r="DB68" s="65"/>
      <c r="DC68" s="66"/>
      <c r="DD68" s="67">
        <v>0</v>
      </c>
      <c r="DE68" s="68"/>
      <c r="DF68" s="67" t="s">
        <v>58</v>
      </c>
      <c r="DG68" s="69"/>
      <c r="DH68" s="70"/>
      <c r="DI68" s="67"/>
      <c r="DJ68" s="67"/>
      <c r="DK68" s="71"/>
      <c r="DL68" s="36"/>
      <c r="DM68" s="60" t="s">
        <v>83</v>
      </c>
      <c r="DN68" s="61">
        <f t="array" ref="DN68">SUM(((Besitzer=$DN$64)*((Hypothek="ja")*$DE$66:$DE$106)))</f>
        <v>0</v>
      </c>
      <c r="DO68" s="36"/>
      <c r="DP68" s="36"/>
      <c r="DQ68" s="36"/>
      <c r="DR68" s="36"/>
      <c r="DS68" s="36"/>
      <c r="DT68" s="36"/>
      <c r="DU68" s="36"/>
      <c r="DV68" s="36"/>
      <c r="DW68" s="36"/>
      <c r="DX68" s="36"/>
      <c r="DY68" s="36"/>
    </row>
    <row r="69" spans="62:129" ht="13.5" hidden="1" thickBot="1" x14ac:dyDescent="0.25">
      <c r="CF69" s="36"/>
      <c r="CG69" s="36"/>
      <c r="CH69" s="36"/>
      <c r="CI69" s="36"/>
      <c r="CJ69" s="36"/>
      <c r="CK69" s="36"/>
      <c r="CL69" s="36"/>
      <c r="CM69" s="37"/>
      <c r="CN69" s="36"/>
      <c r="CO69" s="36"/>
      <c r="CP69" s="36"/>
      <c r="CQ69" s="36"/>
      <c r="CR69" s="62">
        <v>4</v>
      </c>
      <c r="CS69" s="63" t="s">
        <v>3</v>
      </c>
      <c r="CT69" s="64">
        <v>600</v>
      </c>
      <c r="CU69" s="64">
        <v>40</v>
      </c>
      <c r="CV69" s="64">
        <v>200</v>
      </c>
      <c r="CW69" s="64">
        <v>600</v>
      </c>
      <c r="CX69" s="64">
        <v>1800</v>
      </c>
      <c r="CY69" s="64">
        <v>3200</v>
      </c>
      <c r="CZ69" s="64">
        <v>4500</v>
      </c>
      <c r="DA69" s="65"/>
      <c r="DB69" s="65" t="b">
        <f>AND(DA69&lt;&gt;"",DA69=DA67)</f>
        <v>0</v>
      </c>
      <c r="DC69" s="66">
        <v>500</v>
      </c>
      <c r="DD69" s="67">
        <v>0</v>
      </c>
      <c r="DE69" s="68">
        <v>300</v>
      </c>
      <c r="DF69" s="67" t="s">
        <v>58</v>
      </c>
      <c r="DG69" s="69">
        <v>5</v>
      </c>
      <c r="DH69" s="70">
        <v>12</v>
      </c>
      <c r="DI69" s="67">
        <v>190</v>
      </c>
      <c r="DJ69" s="67">
        <v>90</v>
      </c>
      <c r="DK69" s="71">
        <v>50</v>
      </c>
      <c r="DL69" s="36"/>
      <c r="DM69" s="72" t="s">
        <v>84</v>
      </c>
      <c r="DN69" s="73">
        <f>DN65+DN66+DN67-DN68</f>
        <v>15000</v>
      </c>
      <c r="DO69" s="36"/>
      <c r="DP69" s="36"/>
      <c r="DQ69" s="36"/>
      <c r="DR69" s="36"/>
      <c r="DS69" s="36"/>
      <c r="DT69" s="36"/>
      <c r="DU69" s="36"/>
      <c r="DV69" s="36"/>
      <c r="DW69" s="36"/>
      <c r="DX69" s="36"/>
      <c r="DY69" s="36"/>
    </row>
    <row r="70" spans="62:129" ht="13.5" hidden="1" thickBot="1" x14ac:dyDescent="0.25">
      <c r="CF70" s="36"/>
      <c r="CG70" s="36"/>
      <c r="CH70" s="36"/>
      <c r="CI70" s="36"/>
      <c r="CJ70" s="36"/>
      <c r="CK70" s="36"/>
      <c r="CL70" s="36"/>
      <c r="CM70" s="37"/>
      <c r="CN70" s="36"/>
      <c r="CO70" s="36"/>
      <c r="CP70" s="36"/>
      <c r="CQ70" s="36"/>
      <c r="CR70" s="62">
        <v>5</v>
      </c>
      <c r="CS70" s="63" t="s">
        <v>31</v>
      </c>
      <c r="CT70" s="64">
        <v>2000</v>
      </c>
      <c r="CU70" s="66"/>
      <c r="CV70" s="66"/>
      <c r="CW70" s="66"/>
      <c r="CX70" s="66"/>
      <c r="CY70" s="66"/>
      <c r="CZ70" s="66"/>
      <c r="DA70" s="65"/>
      <c r="DB70" s="65"/>
      <c r="DC70" s="66"/>
      <c r="DD70" s="67">
        <v>0</v>
      </c>
      <c r="DE70" s="68"/>
      <c r="DF70" s="67" t="s">
        <v>58</v>
      </c>
      <c r="DG70" s="69"/>
      <c r="DH70" s="70"/>
      <c r="DI70" s="67"/>
      <c r="DJ70" s="67"/>
      <c r="DK70" s="71"/>
      <c r="DL70" s="36"/>
      <c r="DM70" s="36"/>
      <c r="DN70" s="36"/>
      <c r="DO70" s="36"/>
      <c r="DP70" s="36"/>
      <c r="DQ70" s="36"/>
      <c r="DR70" s="36"/>
      <c r="DS70" s="36"/>
      <c r="DT70" s="36"/>
      <c r="DU70" s="36"/>
      <c r="DV70" s="36"/>
      <c r="DW70" s="36"/>
      <c r="DX70" s="36"/>
      <c r="DY70" s="36"/>
    </row>
    <row r="71" spans="62:129" ht="13.5" hidden="1" thickBot="1" x14ac:dyDescent="0.25">
      <c r="CF71" s="36"/>
      <c r="CG71" s="36"/>
      <c r="CH71" s="36"/>
      <c r="CI71" s="36"/>
      <c r="CJ71" s="36"/>
      <c r="CK71" s="36"/>
      <c r="CL71" s="36"/>
      <c r="CM71" s="37"/>
      <c r="CN71" s="36"/>
      <c r="CO71" s="36"/>
      <c r="CP71" s="36"/>
      <c r="CQ71" s="36"/>
      <c r="CR71" s="62">
        <v>6</v>
      </c>
      <c r="CS71" s="63" t="s">
        <v>4</v>
      </c>
      <c r="CT71" s="64">
        <v>2000</v>
      </c>
      <c r="CU71" s="66"/>
      <c r="CV71" s="66"/>
      <c r="CW71" s="66"/>
      <c r="CX71" s="66"/>
      <c r="CY71" s="66"/>
      <c r="CZ71" s="66"/>
      <c r="DA71" s="65"/>
      <c r="DB71" s="65"/>
      <c r="DC71" s="66"/>
      <c r="DD71" s="67">
        <v>0</v>
      </c>
      <c r="DE71" s="68">
        <v>1000</v>
      </c>
      <c r="DF71" s="67" t="s">
        <v>58</v>
      </c>
      <c r="DG71" s="69">
        <v>5</v>
      </c>
      <c r="DH71" s="70">
        <v>12</v>
      </c>
      <c r="DI71" s="67"/>
      <c r="DJ71" s="67"/>
      <c r="DK71" s="71"/>
      <c r="DL71" s="36"/>
      <c r="DM71" s="74" t="s">
        <v>85</v>
      </c>
      <c r="DN71" s="75" t="str">
        <f>NameSpieler2</f>
        <v>Name Spieler 2</v>
      </c>
      <c r="DO71" s="36"/>
      <c r="DP71" s="36"/>
      <c r="DQ71" s="36"/>
      <c r="DR71" s="36"/>
      <c r="DS71" s="36"/>
      <c r="DT71" s="36"/>
      <c r="DU71" s="36"/>
      <c r="DV71" s="36"/>
      <c r="DW71" s="36"/>
      <c r="DX71" s="36"/>
      <c r="DY71" s="36"/>
    </row>
    <row r="72" spans="62:129" ht="12.75" hidden="1" x14ac:dyDescent="0.2">
      <c r="CF72" s="36"/>
      <c r="CG72" s="36"/>
      <c r="CH72" s="36"/>
      <c r="CI72" s="36"/>
      <c r="CJ72" s="36"/>
      <c r="CK72" s="36"/>
      <c r="CL72" s="36"/>
      <c r="CM72" s="37"/>
      <c r="CN72" s="36"/>
      <c r="CO72" s="36"/>
      <c r="CP72" s="36"/>
      <c r="CQ72" s="36"/>
      <c r="CR72" s="62">
        <v>7</v>
      </c>
      <c r="CS72" s="63" t="s">
        <v>5</v>
      </c>
      <c r="CT72" s="64">
        <v>1000</v>
      </c>
      <c r="CU72" s="64">
        <v>60</v>
      </c>
      <c r="CV72" s="64">
        <v>300</v>
      </c>
      <c r="CW72" s="64">
        <v>900</v>
      </c>
      <c r="CX72" s="64">
        <v>2700</v>
      </c>
      <c r="CY72" s="64">
        <v>4000</v>
      </c>
      <c r="CZ72" s="64">
        <v>5500</v>
      </c>
      <c r="DA72" s="65"/>
      <c r="DB72" s="65" t="b">
        <f>AND(DA72&lt;&gt;"",DA72=DA74,DA72=DA75)</f>
        <v>0</v>
      </c>
      <c r="DC72" s="66">
        <v>500</v>
      </c>
      <c r="DD72" s="67">
        <v>0</v>
      </c>
      <c r="DE72" s="68">
        <v>500</v>
      </c>
      <c r="DF72" s="67" t="s">
        <v>58</v>
      </c>
      <c r="DG72" s="69">
        <v>5</v>
      </c>
      <c r="DH72" s="70">
        <v>12</v>
      </c>
      <c r="DI72" s="67">
        <v>0</v>
      </c>
      <c r="DJ72" s="67">
        <v>255</v>
      </c>
      <c r="DK72" s="71">
        <v>255</v>
      </c>
      <c r="DL72" s="36"/>
      <c r="DM72" s="48" t="s">
        <v>80</v>
      </c>
      <c r="DN72" s="49">
        <f>Barvermögen_S2</f>
        <v>15000</v>
      </c>
      <c r="DO72" s="36"/>
      <c r="DP72" s="36"/>
      <c r="DQ72" s="36"/>
      <c r="DR72" s="36"/>
      <c r="DS72" s="36"/>
      <c r="DT72" s="36"/>
      <c r="DU72" s="36"/>
      <c r="DV72" s="36"/>
      <c r="DW72" s="36"/>
      <c r="DX72" s="36"/>
      <c r="DY72" s="36"/>
    </row>
    <row r="73" spans="62:129" ht="12.75" hidden="1" x14ac:dyDescent="0.2">
      <c r="CF73" s="36"/>
      <c r="CG73" s="36"/>
      <c r="CH73" s="36"/>
      <c r="CI73" s="36"/>
      <c r="CJ73" s="36"/>
      <c r="CK73" s="36"/>
      <c r="CL73" s="36"/>
      <c r="CM73" s="37"/>
      <c r="CN73" s="36"/>
      <c r="CO73" s="36"/>
      <c r="CP73" s="36"/>
      <c r="CQ73" s="36"/>
      <c r="CR73" s="62">
        <v>8</v>
      </c>
      <c r="CS73" s="63" t="s">
        <v>32</v>
      </c>
      <c r="CT73" s="66"/>
      <c r="CU73" s="66"/>
      <c r="CV73" s="66"/>
      <c r="CW73" s="66"/>
      <c r="CX73" s="66"/>
      <c r="CY73" s="66"/>
      <c r="CZ73" s="66"/>
      <c r="DA73" s="65"/>
      <c r="DB73" s="65"/>
      <c r="DC73" s="66"/>
      <c r="DD73" s="67">
        <v>0</v>
      </c>
      <c r="DE73" s="68"/>
      <c r="DF73" s="67" t="s">
        <v>58</v>
      </c>
      <c r="DG73" s="69"/>
      <c r="DH73" s="70"/>
      <c r="DI73" s="67"/>
      <c r="DJ73" s="67"/>
      <c r="DK73" s="71"/>
      <c r="DL73" s="36"/>
      <c r="DM73" s="60" t="s">
        <v>81</v>
      </c>
      <c r="DN73" s="61">
        <f t="array" ref="DN73">SUM(((Besitzer=$DN$71)*$CT$66:$CT$106))</f>
        <v>0</v>
      </c>
      <c r="DO73" s="36"/>
      <c r="DP73" s="36"/>
      <c r="DQ73" s="36"/>
      <c r="DR73" s="36"/>
      <c r="DS73" s="36"/>
      <c r="DT73" s="36"/>
      <c r="DU73" s="36"/>
      <c r="DV73" s="36"/>
      <c r="DW73" s="36"/>
      <c r="DX73" s="36"/>
      <c r="DY73" s="36"/>
    </row>
    <row r="74" spans="62:129" ht="12.75" hidden="1" x14ac:dyDescent="0.2">
      <c r="CF74" s="36"/>
      <c r="CG74" s="36"/>
      <c r="CH74" s="36"/>
      <c r="CI74" s="36"/>
      <c r="CJ74" s="36"/>
      <c r="CK74" s="36"/>
      <c r="CL74" s="36"/>
      <c r="CM74" s="37"/>
      <c r="CN74" s="36"/>
      <c r="CO74" s="36"/>
      <c r="CP74" s="36"/>
      <c r="CQ74" s="36"/>
      <c r="CR74" s="62">
        <v>9</v>
      </c>
      <c r="CS74" s="63" t="s">
        <v>6</v>
      </c>
      <c r="CT74" s="64">
        <v>1000</v>
      </c>
      <c r="CU74" s="64">
        <v>60</v>
      </c>
      <c r="CV74" s="64">
        <v>300</v>
      </c>
      <c r="CW74" s="64">
        <v>900</v>
      </c>
      <c r="CX74" s="64">
        <v>2700</v>
      </c>
      <c r="CY74" s="64">
        <v>4000</v>
      </c>
      <c r="CZ74" s="64">
        <v>5500</v>
      </c>
      <c r="DA74" s="65"/>
      <c r="DB74" s="65" t="b">
        <f>AND(DA74&lt;&gt;"",DA74=DA72,DA74=DA75)</f>
        <v>0</v>
      </c>
      <c r="DC74" s="66">
        <v>500</v>
      </c>
      <c r="DD74" s="67">
        <v>0</v>
      </c>
      <c r="DE74" s="68">
        <v>500</v>
      </c>
      <c r="DF74" s="67" t="s">
        <v>58</v>
      </c>
      <c r="DG74" s="69">
        <v>5</v>
      </c>
      <c r="DH74" s="70">
        <v>12</v>
      </c>
      <c r="DI74" s="67">
        <v>0</v>
      </c>
      <c r="DJ74" s="67">
        <v>255</v>
      </c>
      <c r="DK74" s="71">
        <v>255</v>
      </c>
      <c r="DL74" s="36"/>
      <c r="DM74" s="60" t="s">
        <v>82</v>
      </c>
      <c r="DN74" s="61">
        <f t="array" ref="DN74">SUM(((Besitzer=$DN$71)*($DC$66:$DC$106*AnzahlHäuser)))</f>
        <v>0</v>
      </c>
      <c r="DO74" s="36"/>
      <c r="DP74" s="36"/>
      <c r="DQ74" s="36"/>
      <c r="DR74" s="36"/>
      <c r="DS74" s="36"/>
      <c r="DT74" s="36"/>
      <c r="DU74" s="36"/>
      <c r="DV74" s="36"/>
      <c r="DW74" s="36"/>
      <c r="DX74" s="36"/>
      <c r="DY74" s="36"/>
    </row>
    <row r="75" spans="62:129" ht="12.75" hidden="1" x14ac:dyDescent="0.2">
      <c r="CF75" s="36"/>
      <c r="CG75" s="36"/>
      <c r="CH75" s="36"/>
      <c r="CI75" s="36"/>
      <c r="CJ75" s="36"/>
      <c r="CK75" s="36"/>
      <c r="CL75" s="36"/>
      <c r="CM75" s="37"/>
      <c r="CN75" s="36"/>
      <c r="CO75" s="36"/>
      <c r="CP75" s="36"/>
      <c r="CQ75" s="36"/>
      <c r="CR75" s="62">
        <v>10</v>
      </c>
      <c r="CS75" s="63" t="s">
        <v>7</v>
      </c>
      <c r="CT75" s="64">
        <v>1200</v>
      </c>
      <c r="CU75" s="64">
        <v>80</v>
      </c>
      <c r="CV75" s="64">
        <v>400</v>
      </c>
      <c r="CW75" s="64">
        <v>1000</v>
      </c>
      <c r="CX75" s="64">
        <v>3000</v>
      </c>
      <c r="CY75" s="64">
        <v>4500</v>
      </c>
      <c r="CZ75" s="64">
        <v>6000</v>
      </c>
      <c r="DA75" s="65"/>
      <c r="DB75" s="65" t="b">
        <f>AND(DA75&lt;&gt;"",DA75=DA72,DA75=DA74)</f>
        <v>0</v>
      </c>
      <c r="DC75" s="66">
        <v>500</v>
      </c>
      <c r="DD75" s="67">
        <v>0</v>
      </c>
      <c r="DE75" s="68">
        <v>600</v>
      </c>
      <c r="DF75" s="67" t="s">
        <v>58</v>
      </c>
      <c r="DG75" s="69">
        <v>5</v>
      </c>
      <c r="DH75" s="70">
        <v>12</v>
      </c>
      <c r="DI75" s="67">
        <v>0</v>
      </c>
      <c r="DJ75" s="67">
        <v>255</v>
      </c>
      <c r="DK75" s="71">
        <v>255</v>
      </c>
      <c r="DL75" s="36"/>
      <c r="DM75" s="60" t="s">
        <v>83</v>
      </c>
      <c r="DN75" s="61">
        <f t="array" ref="DN75">SUM(((Besitzer=$DN$71)*((Hypothek="ja")*$DE$66:$DE$106)))</f>
        <v>0</v>
      </c>
      <c r="DO75" s="36"/>
      <c r="DP75" s="36"/>
      <c r="DQ75" s="36"/>
      <c r="DR75" s="36"/>
      <c r="DS75" s="36"/>
      <c r="DT75" s="36"/>
      <c r="DU75" s="36"/>
      <c r="DV75" s="36"/>
      <c r="DW75" s="36"/>
      <c r="DX75" s="36"/>
      <c r="DY75" s="36"/>
    </row>
    <row r="76" spans="62:129" ht="13.5" hidden="1" thickBot="1" x14ac:dyDescent="0.25">
      <c r="CF76" s="36"/>
      <c r="CG76" s="36"/>
      <c r="CH76" s="36"/>
      <c r="CI76" s="36"/>
      <c r="CJ76" s="36"/>
      <c r="CK76" s="36"/>
      <c r="CL76" s="36"/>
      <c r="CM76" s="37"/>
      <c r="CN76" s="36"/>
      <c r="CO76" s="36"/>
      <c r="CP76" s="36"/>
      <c r="CQ76" s="36"/>
      <c r="CR76" s="62">
        <v>11</v>
      </c>
      <c r="CS76" s="63" t="s">
        <v>33</v>
      </c>
      <c r="CT76" s="66"/>
      <c r="CU76" s="66"/>
      <c r="CV76" s="66"/>
      <c r="CW76" s="66"/>
      <c r="CX76" s="66"/>
      <c r="CY76" s="66"/>
      <c r="CZ76" s="66"/>
      <c r="DA76" s="65"/>
      <c r="DB76" s="65"/>
      <c r="DC76" s="66"/>
      <c r="DD76" s="67">
        <v>0</v>
      </c>
      <c r="DE76" s="68"/>
      <c r="DF76" s="67" t="s">
        <v>58</v>
      </c>
      <c r="DG76" s="69"/>
      <c r="DH76" s="70"/>
      <c r="DI76" s="67"/>
      <c r="DJ76" s="67"/>
      <c r="DK76" s="71"/>
      <c r="DL76" s="36"/>
      <c r="DM76" s="72" t="s">
        <v>84</v>
      </c>
      <c r="DN76" s="73">
        <f>DN72+DN73+DN74-DN75</f>
        <v>15000</v>
      </c>
      <c r="DO76" s="36"/>
      <c r="DP76" s="36"/>
      <c r="DQ76" s="36"/>
      <c r="DR76" s="36"/>
      <c r="DS76" s="36"/>
      <c r="DT76" s="36"/>
      <c r="DU76" s="36"/>
      <c r="DV76" s="36"/>
      <c r="DW76" s="36"/>
      <c r="DX76" s="36"/>
      <c r="DY76" s="36"/>
    </row>
    <row r="77" spans="62:129" ht="12.75" hidden="1" x14ac:dyDescent="0.2">
      <c r="CF77" s="36"/>
      <c r="CG77" s="36"/>
      <c r="CH77" s="36"/>
      <c r="CI77" s="36"/>
      <c r="CJ77" s="36"/>
      <c r="CK77" s="36"/>
      <c r="CL77" s="36"/>
      <c r="CM77" s="37"/>
      <c r="CN77" s="36"/>
      <c r="CO77" s="36"/>
      <c r="CP77" s="36"/>
      <c r="CQ77" s="36"/>
      <c r="CR77" s="62">
        <v>12</v>
      </c>
      <c r="CS77" s="63" t="s">
        <v>8</v>
      </c>
      <c r="CT77" s="64">
        <v>1400</v>
      </c>
      <c r="CU77" s="64">
        <v>100</v>
      </c>
      <c r="CV77" s="64">
        <v>500</v>
      </c>
      <c r="CW77" s="64">
        <v>1500</v>
      </c>
      <c r="CX77" s="64">
        <v>4500</v>
      </c>
      <c r="CY77" s="64">
        <v>6250</v>
      </c>
      <c r="CZ77" s="64">
        <v>7500</v>
      </c>
      <c r="DA77" s="65"/>
      <c r="DB77" s="65" t="b">
        <f>AND(DA77&lt;&gt;"",DA77=DA79,DA77=DA80)</f>
        <v>0</v>
      </c>
      <c r="DC77" s="66">
        <v>1000</v>
      </c>
      <c r="DD77" s="67">
        <v>0</v>
      </c>
      <c r="DE77" s="68">
        <v>700</v>
      </c>
      <c r="DF77" s="67" t="s">
        <v>58</v>
      </c>
      <c r="DG77" s="69">
        <v>11</v>
      </c>
      <c r="DH77" s="70">
        <v>5</v>
      </c>
      <c r="DI77" s="67">
        <v>250</v>
      </c>
      <c r="DJ77" s="67">
        <v>180</v>
      </c>
      <c r="DK77" s="71">
        <v>180</v>
      </c>
      <c r="DL77" s="36"/>
      <c r="DM77" s="36"/>
      <c r="DN77" s="36"/>
      <c r="DO77" s="36"/>
      <c r="DP77" s="36"/>
      <c r="DQ77" s="36"/>
      <c r="DR77" s="36"/>
      <c r="DS77" s="36"/>
      <c r="DT77" s="36"/>
      <c r="DU77" s="36"/>
      <c r="DV77" s="36"/>
      <c r="DW77" s="36"/>
      <c r="DX77" s="36"/>
      <c r="DY77" s="36"/>
    </row>
    <row r="78" spans="62:129" ht="12.75" hidden="1" x14ac:dyDescent="0.2">
      <c r="CF78" s="36"/>
      <c r="CG78" s="36"/>
      <c r="CH78" s="36"/>
      <c r="CI78" s="36"/>
      <c r="CJ78" s="36"/>
      <c r="CK78" s="36"/>
      <c r="CL78" s="36"/>
      <c r="CM78" s="37"/>
      <c r="CN78" s="36"/>
      <c r="CO78" s="36"/>
      <c r="CP78" s="36"/>
      <c r="CQ78" s="36"/>
      <c r="CR78" s="62">
        <v>13</v>
      </c>
      <c r="CS78" s="63" t="s">
        <v>27</v>
      </c>
      <c r="CT78" s="64">
        <v>1500</v>
      </c>
      <c r="CU78" s="66"/>
      <c r="CV78" s="66"/>
      <c r="CW78" s="66"/>
      <c r="CX78" s="66"/>
      <c r="CY78" s="66"/>
      <c r="CZ78" s="66"/>
      <c r="DA78" s="65"/>
      <c r="DB78" s="65"/>
      <c r="DC78" s="66"/>
      <c r="DD78" s="67">
        <v>0</v>
      </c>
      <c r="DE78" s="68">
        <v>750</v>
      </c>
      <c r="DF78" s="67" t="s">
        <v>58</v>
      </c>
      <c r="DG78" s="69">
        <v>11</v>
      </c>
      <c r="DH78" s="70">
        <v>5</v>
      </c>
      <c r="DI78" s="67"/>
      <c r="DJ78" s="67"/>
      <c r="DK78" s="71"/>
      <c r="DL78" s="36"/>
      <c r="DM78" s="36"/>
      <c r="DN78" s="36"/>
      <c r="DO78" s="36"/>
      <c r="DP78" s="36"/>
      <c r="DQ78" s="36"/>
      <c r="DR78" s="36"/>
      <c r="DS78" s="36"/>
      <c r="DT78" s="36"/>
      <c r="DU78" s="36"/>
      <c r="DV78" s="36"/>
      <c r="DW78" s="36"/>
      <c r="DX78" s="36"/>
      <c r="DY78" s="36"/>
    </row>
    <row r="79" spans="62:129" ht="12.75" hidden="1" x14ac:dyDescent="0.2">
      <c r="CF79" s="36"/>
      <c r="CG79" s="36"/>
      <c r="CH79" s="36"/>
      <c r="CI79" s="36"/>
      <c r="CJ79" s="36"/>
      <c r="CK79" s="36"/>
      <c r="CL79" s="36"/>
      <c r="CM79" s="37"/>
      <c r="CN79" s="36"/>
      <c r="CO79" s="36"/>
      <c r="CP79" s="36"/>
      <c r="CQ79" s="36"/>
      <c r="CR79" s="62">
        <v>14</v>
      </c>
      <c r="CS79" s="63" t="s">
        <v>9</v>
      </c>
      <c r="CT79" s="64">
        <v>1400</v>
      </c>
      <c r="CU79" s="64">
        <v>100</v>
      </c>
      <c r="CV79" s="64">
        <v>500</v>
      </c>
      <c r="CW79" s="64">
        <v>1500</v>
      </c>
      <c r="CX79" s="64">
        <v>4500</v>
      </c>
      <c r="CY79" s="64">
        <v>6250</v>
      </c>
      <c r="CZ79" s="64">
        <v>7500</v>
      </c>
      <c r="DA79" s="65"/>
      <c r="DB79" s="65" t="b">
        <f>AND(DA79&lt;&gt;"",DA79=DA77,DA79=DA80)</f>
        <v>0</v>
      </c>
      <c r="DC79" s="66">
        <v>1000</v>
      </c>
      <c r="DD79" s="67">
        <v>0</v>
      </c>
      <c r="DE79" s="68">
        <v>700</v>
      </c>
      <c r="DF79" s="67" t="s">
        <v>58</v>
      </c>
      <c r="DG79" s="69">
        <v>11</v>
      </c>
      <c r="DH79" s="70">
        <v>5</v>
      </c>
      <c r="DI79" s="67">
        <v>250</v>
      </c>
      <c r="DJ79" s="67">
        <v>180</v>
      </c>
      <c r="DK79" s="71">
        <v>180</v>
      </c>
      <c r="DL79" s="36"/>
      <c r="DM79" s="36"/>
      <c r="DN79" s="36"/>
      <c r="DO79" s="36"/>
      <c r="DP79" s="36"/>
      <c r="DQ79" s="36"/>
      <c r="DR79" s="36"/>
      <c r="DS79" s="36"/>
      <c r="DT79" s="36"/>
      <c r="DU79" s="36"/>
      <c r="DV79" s="36"/>
      <c r="DW79" s="36"/>
      <c r="DX79" s="36"/>
      <c r="DY79" s="36"/>
    </row>
    <row r="80" spans="62:129" ht="12.75" hidden="1" x14ac:dyDescent="0.2">
      <c r="CF80" s="36"/>
      <c r="CG80" s="36"/>
      <c r="CH80" s="36"/>
      <c r="CI80" s="36"/>
      <c r="CJ80" s="36"/>
      <c r="CK80" s="36"/>
      <c r="CL80" s="36"/>
      <c r="CM80" s="37"/>
      <c r="CN80" s="36"/>
      <c r="CO80" s="36"/>
      <c r="CP80" s="36"/>
      <c r="CQ80" s="36"/>
      <c r="CR80" s="62">
        <v>15</v>
      </c>
      <c r="CS80" s="63" t="s">
        <v>10</v>
      </c>
      <c r="CT80" s="64">
        <v>1600</v>
      </c>
      <c r="CU80" s="64">
        <v>120</v>
      </c>
      <c r="CV80" s="64">
        <v>600</v>
      </c>
      <c r="CW80" s="64">
        <v>1800</v>
      </c>
      <c r="CX80" s="64">
        <v>5000</v>
      </c>
      <c r="CY80" s="64">
        <v>7000</v>
      </c>
      <c r="CZ80" s="64">
        <v>9000</v>
      </c>
      <c r="DA80" s="65"/>
      <c r="DB80" s="65" t="b">
        <f>AND(DA80&lt;&gt;"",DA80=DA77,DA80=DA79)</f>
        <v>0</v>
      </c>
      <c r="DC80" s="66">
        <v>1000</v>
      </c>
      <c r="DD80" s="67">
        <v>0</v>
      </c>
      <c r="DE80" s="68">
        <v>800</v>
      </c>
      <c r="DF80" s="67" t="s">
        <v>58</v>
      </c>
      <c r="DG80" s="69">
        <v>11</v>
      </c>
      <c r="DH80" s="70">
        <v>5</v>
      </c>
      <c r="DI80" s="67">
        <v>250</v>
      </c>
      <c r="DJ80" s="67">
        <v>180</v>
      </c>
      <c r="DK80" s="71">
        <v>180</v>
      </c>
      <c r="DL80" s="36"/>
      <c r="DM80" s="36"/>
      <c r="DN80" s="36"/>
      <c r="DO80" s="36"/>
      <c r="DP80" s="36"/>
      <c r="DQ80" s="36"/>
      <c r="DR80" s="36"/>
      <c r="DS80" s="36"/>
      <c r="DT80" s="36"/>
      <c r="DU80" s="36"/>
      <c r="DV80" s="36"/>
      <c r="DW80" s="36"/>
      <c r="DX80" s="36"/>
      <c r="DY80" s="36"/>
    </row>
    <row r="81" spans="84:129" ht="12.75" hidden="1" x14ac:dyDescent="0.2">
      <c r="CF81" s="36"/>
      <c r="CG81" s="36"/>
      <c r="CH81" s="36"/>
      <c r="CI81" s="36"/>
      <c r="CJ81" s="36"/>
      <c r="CK81" s="36"/>
      <c r="CL81" s="36"/>
      <c r="CM81" s="37"/>
      <c r="CN81" s="36"/>
      <c r="CO81" s="36"/>
      <c r="CP81" s="36"/>
      <c r="CQ81" s="36"/>
      <c r="CR81" s="62">
        <v>16</v>
      </c>
      <c r="CS81" s="63" t="s">
        <v>11</v>
      </c>
      <c r="CT81" s="64">
        <v>2000</v>
      </c>
      <c r="CU81" s="66"/>
      <c r="CV81" s="66"/>
      <c r="CW81" s="66"/>
      <c r="CX81" s="66"/>
      <c r="CY81" s="66"/>
      <c r="CZ81" s="66"/>
      <c r="DA81" s="65"/>
      <c r="DB81" s="65"/>
      <c r="DC81" s="66"/>
      <c r="DD81" s="67">
        <v>0</v>
      </c>
      <c r="DE81" s="68">
        <v>1000</v>
      </c>
      <c r="DF81" s="67" t="s">
        <v>58</v>
      </c>
      <c r="DG81" s="69">
        <v>11</v>
      </c>
      <c r="DH81" s="70">
        <v>5</v>
      </c>
      <c r="DI81" s="67"/>
      <c r="DJ81" s="67"/>
      <c r="DK81" s="71"/>
      <c r="DL81" s="36"/>
      <c r="DM81" s="36"/>
      <c r="DN81" s="36"/>
      <c r="DO81" s="36"/>
      <c r="DP81" s="36"/>
      <c r="DQ81" s="36"/>
      <c r="DR81" s="36"/>
      <c r="DS81" s="36"/>
      <c r="DT81" s="36"/>
      <c r="DU81" s="36"/>
      <c r="DV81" s="36"/>
      <c r="DW81" s="36"/>
      <c r="DX81" s="36"/>
      <c r="DY81" s="36"/>
    </row>
    <row r="82" spans="84:129" ht="12.75" hidden="1" x14ac:dyDescent="0.2">
      <c r="CF82" s="36"/>
      <c r="CG82" s="36"/>
      <c r="CH82" s="36"/>
      <c r="CI82" s="36"/>
      <c r="CJ82" s="36"/>
      <c r="CK82" s="36"/>
      <c r="CL82" s="36"/>
      <c r="CM82" s="37"/>
      <c r="CN82" s="36"/>
      <c r="CO82" s="36"/>
      <c r="CP82" s="36"/>
      <c r="CQ82" s="36"/>
      <c r="CR82" s="62">
        <v>17</v>
      </c>
      <c r="CS82" s="63" t="s">
        <v>0</v>
      </c>
      <c r="CT82" s="64">
        <v>1800</v>
      </c>
      <c r="CU82" s="64">
        <v>140</v>
      </c>
      <c r="CV82" s="64">
        <v>700</v>
      </c>
      <c r="CW82" s="64">
        <v>2000</v>
      </c>
      <c r="CX82" s="64">
        <v>5500</v>
      </c>
      <c r="CY82" s="64">
        <v>7500</v>
      </c>
      <c r="CZ82" s="64">
        <v>9500</v>
      </c>
      <c r="DA82" s="65"/>
      <c r="DB82" s="65" t="b">
        <f>AND(DA82&lt;&gt;"",DA82=DA84,DA82=DA85)</f>
        <v>0</v>
      </c>
      <c r="DC82" s="66">
        <v>1000</v>
      </c>
      <c r="DD82" s="67">
        <v>0</v>
      </c>
      <c r="DE82" s="68">
        <v>900</v>
      </c>
      <c r="DF82" s="67" t="s">
        <v>58</v>
      </c>
      <c r="DG82" s="69">
        <v>11</v>
      </c>
      <c r="DH82" s="70">
        <v>5</v>
      </c>
      <c r="DI82" s="67">
        <v>255</v>
      </c>
      <c r="DJ82" s="67">
        <v>150</v>
      </c>
      <c r="DK82" s="71">
        <v>0</v>
      </c>
      <c r="DL82" s="36"/>
      <c r="DM82" s="36"/>
      <c r="DN82" s="36"/>
      <c r="DO82" s="36"/>
      <c r="DP82" s="36"/>
      <c r="DQ82" s="36"/>
      <c r="DR82" s="36"/>
      <c r="DS82" s="36"/>
      <c r="DT82" s="36"/>
      <c r="DU82" s="36"/>
      <c r="DV82" s="36"/>
      <c r="DW82" s="36"/>
      <c r="DX82" s="36"/>
      <c r="DY82" s="36"/>
    </row>
    <row r="83" spans="84:129" ht="12.75" hidden="1" x14ac:dyDescent="0.2">
      <c r="CF83" s="36"/>
      <c r="CG83" s="36"/>
      <c r="CH83" s="36"/>
      <c r="CI83" s="36"/>
      <c r="CJ83" s="36"/>
      <c r="CK83" s="36"/>
      <c r="CL83" s="36"/>
      <c r="CM83" s="37"/>
      <c r="CN83" s="36"/>
      <c r="CO83" s="36"/>
      <c r="CP83" s="36"/>
      <c r="CQ83" s="36"/>
      <c r="CR83" s="62">
        <v>18</v>
      </c>
      <c r="CS83" s="63" t="s">
        <v>34</v>
      </c>
      <c r="CT83" s="66"/>
      <c r="CU83" s="66"/>
      <c r="CV83" s="66"/>
      <c r="CW83" s="66"/>
      <c r="CX83" s="66"/>
      <c r="CY83" s="66"/>
      <c r="CZ83" s="66"/>
      <c r="DA83" s="65"/>
      <c r="DB83" s="65"/>
      <c r="DC83" s="66"/>
      <c r="DD83" s="67">
        <v>0</v>
      </c>
      <c r="DE83" s="68"/>
      <c r="DF83" s="67" t="s">
        <v>58</v>
      </c>
      <c r="DG83" s="69"/>
      <c r="DH83" s="70"/>
      <c r="DI83" s="67"/>
      <c r="DJ83" s="67"/>
      <c r="DK83" s="71"/>
      <c r="DL83" s="36"/>
      <c r="DM83" s="36"/>
      <c r="DN83" s="36"/>
      <c r="DO83" s="36"/>
      <c r="DP83" s="36"/>
      <c r="DQ83" s="36"/>
      <c r="DR83" s="36"/>
      <c r="DS83" s="36"/>
      <c r="DT83" s="36"/>
      <c r="DU83" s="36"/>
      <c r="DV83" s="36"/>
      <c r="DW83" s="36"/>
      <c r="DX83" s="36"/>
      <c r="DY83" s="36"/>
    </row>
    <row r="84" spans="84:129" ht="12.75" hidden="1" x14ac:dyDescent="0.2">
      <c r="CF84" s="36"/>
      <c r="CG84" s="36"/>
      <c r="CH84" s="36"/>
      <c r="CI84" s="36"/>
      <c r="CJ84" s="36"/>
      <c r="CK84" s="36"/>
      <c r="CL84" s="36"/>
      <c r="CM84" s="37"/>
      <c r="CN84" s="36"/>
      <c r="CO84" s="36"/>
      <c r="CP84" s="36"/>
      <c r="CQ84" s="36"/>
      <c r="CR84" s="62">
        <v>19</v>
      </c>
      <c r="CS84" s="63" t="s">
        <v>12</v>
      </c>
      <c r="CT84" s="64">
        <v>1800</v>
      </c>
      <c r="CU84" s="64">
        <v>140</v>
      </c>
      <c r="CV84" s="64">
        <v>700</v>
      </c>
      <c r="CW84" s="64">
        <v>2000</v>
      </c>
      <c r="CX84" s="64">
        <v>5500</v>
      </c>
      <c r="CY84" s="64">
        <v>7500</v>
      </c>
      <c r="CZ84" s="64">
        <v>9500</v>
      </c>
      <c r="DA84" s="65"/>
      <c r="DB84" s="65" t="b">
        <f>AND(DA84&lt;&gt;"",DA84=DA82,DA84=DA85)</f>
        <v>0</v>
      </c>
      <c r="DC84" s="66">
        <v>1000</v>
      </c>
      <c r="DD84" s="67">
        <v>0</v>
      </c>
      <c r="DE84" s="68">
        <v>900</v>
      </c>
      <c r="DF84" s="67" t="s">
        <v>58</v>
      </c>
      <c r="DG84" s="69">
        <v>11</v>
      </c>
      <c r="DH84" s="70">
        <v>5</v>
      </c>
      <c r="DI84" s="67">
        <v>255</v>
      </c>
      <c r="DJ84" s="67">
        <v>150</v>
      </c>
      <c r="DK84" s="71">
        <v>0</v>
      </c>
      <c r="DL84" s="36"/>
      <c r="DM84" s="36"/>
      <c r="DN84" s="36"/>
      <c r="DO84" s="36"/>
      <c r="DP84" s="36"/>
      <c r="DQ84" s="36"/>
      <c r="DR84" s="36"/>
      <c r="DS84" s="36"/>
      <c r="DT84" s="36"/>
      <c r="DU84" s="36"/>
      <c r="DV84" s="36"/>
      <c r="DW84" s="36"/>
      <c r="DX84" s="36"/>
      <c r="DY84" s="36"/>
    </row>
    <row r="85" spans="84:129" ht="12.75" hidden="1" x14ac:dyDescent="0.2">
      <c r="CF85" s="36"/>
      <c r="CG85" s="36"/>
      <c r="CH85" s="36"/>
      <c r="CI85" s="36"/>
      <c r="CJ85" s="36"/>
      <c r="CK85" s="36"/>
      <c r="CL85" s="36"/>
      <c r="CM85" s="37"/>
      <c r="CN85" s="36"/>
      <c r="CO85" s="36"/>
      <c r="CP85" s="36"/>
      <c r="CQ85" s="36"/>
      <c r="CR85" s="62">
        <v>20</v>
      </c>
      <c r="CS85" s="63" t="s">
        <v>13</v>
      </c>
      <c r="CT85" s="64">
        <v>2000</v>
      </c>
      <c r="CU85" s="64">
        <v>160</v>
      </c>
      <c r="CV85" s="64">
        <v>800</v>
      </c>
      <c r="CW85" s="64">
        <v>2200</v>
      </c>
      <c r="CX85" s="64">
        <v>6000</v>
      </c>
      <c r="CY85" s="64">
        <v>8000</v>
      </c>
      <c r="CZ85" s="64">
        <v>10000</v>
      </c>
      <c r="DA85" s="65"/>
      <c r="DB85" s="65" t="b">
        <f>AND(DA85&lt;&gt;"",DA85=DA82,DA85=DA84)</f>
        <v>0</v>
      </c>
      <c r="DC85" s="66">
        <v>1000</v>
      </c>
      <c r="DD85" s="67">
        <v>0</v>
      </c>
      <c r="DE85" s="68">
        <v>1000</v>
      </c>
      <c r="DF85" s="67" t="s">
        <v>58</v>
      </c>
      <c r="DG85" s="69">
        <v>11</v>
      </c>
      <c r="DH85" s="70">
        <v>5</v>
      </c>
      <c r="DI85" s="67">
        <v>255</v>
      </c>
      <c r="DJ85" s="67">
        <v>150</v>
      </c>
      <c r="DK85" s="71">
        <v>0</v>
      </c>
      <c r="DL85" s="36"/>
      <c r="DM85" s="36"/>
      <c r="DN85" s="36"/>
      <c r="DO85" s="36"/>
      <c r="DP85" s="36"/>
      <c r="DQ85" s="36"/>
      <c r="DR85" s="36"/>
      <c r="DS85" s="36"/>
      <c r="DT85" s="36"/>
      <c r="DU85" s="36"/>
      <c r="DV85" s="36"/>
      <c r="DW85" s="36"/>
      <c r="DX85" s="36"/>
      <c r="DY85" s="36"/>
    </row>
    <row r="86" spans="84:129" ht="12.75" hidden="1" x14ac:dyDescent="0.2">
      <c r="CF86" s="36"/>
      <c r="CG86" s="36"/>
      <c r="CH86" s="36"/>
      <c r="CI86" s="36"/>
      <c r="CJ86" s="36"/>
      <c r="CK86" s="36"/>
      <c r="CL86" s="36"/>
      <c r="CM86" s="37"/>
      <c r="CN86" s="36"/>
      <c r="CO86" s="36"/>
      <c r="CP86" s="36"/>
      <c r="CQ86" s="36"/>
      <c r="CR86" s="62">
        <v>21</v>
      </c>
      <c r="CS86" s="63" t="s">
        <v>1</v>
      </c>
      <c r="CT86" s="66"/>
      <c r="CU86" s="66"/>
      <c r="CV86" s="66"/>
      <c r="CW86" s="66"/>
      <c r="CX86" s="66"/>
      <c r="CY86" s="66"/>
      <c r="CZ86" s="66"/>
      <c r="DA86" s="65"/>
      <c r="DB86" s="65"/>
      <c r="DC86" s="66"/>
      <c r="DD86" s="67">
        <v>0</v>
      </c>
      <c r="DE86" s="68"/>
      <c r="DF86" s="67" t="s">
        <v>58</v>
      </c>
      <c r="DG86" s="69"/>
      <c r="DH86" s="70"/>
      <c r="DI86" s="67"/>
      <c r="DJ86" s="67"/>
      <c r="DK86" s="71"/>
      <c r="DL86" s="36"/>
      <c r="DM86" s="36"/>
      <c r="DN86" s="36"/>
      <c r="DO86" s="36"/>
      <c r="DP86" s="36"/>
      <c r="DQ86" s="36"/>
      <c r="DR86" s="36"/>
      <c r="DS86" s="36"/>
      <c r="DT86" s="36"/>
      <c r="DU86" s="36"/>
      <c r="DV86" s="36"/>
      <c r="DW86" s="36"/>
      <c r="DX86" s="36"/>
      <c r="DY86" s="36"/>
    </row>
    <row r="87" spans="84:129" ht="12.75" hidden="1" x14ac:dyDescent="0.2">
      <c r="CF87" s="36"/>
      <c r="CG87" s="36"/>
      <c r="CH87" s="36"/>
      <c r="CI87" s="36"/>
      <c r="CJ87" s="36"/>
      <c r="CK87" s="36"/>
      <c r="CL87" s="36"/>
      <c r="CM87" s="37"/>
      <c r="CN87" s="36"/>
      <c r="CO87" s="36"/>
      <c r="CP87" s="36"/>
      <c r="CQ87" s="36"/>
      <c r="CR87" s="62">
        <v>22</v>
      </c>
      <c r="CS87" s="63" t="s">
        <v>14</v>
      </c>
      <c r="CT87" s="64">
        <v>2200</v>
      </c>
      <c r="CU87" s="64">
        <v>180</v>
      </c>
      <c r="CV87" s="64">
        <v>900</v>
      </c>
      <c r="CW87" s="64">
        <v>2500</v>
      </c>
      <c r="CX87" s="64">
        <v>7000</v>
      </c>
      <c r="CY87" s="64">
        <v>8750</v>
      </c>
      <c r="CZ87" s="64">
        <v>10500</v>
      </c>
      <c r="DA87" s="65"/>
      <c r="DB87" s="65" t="b">
        <f>AND(DA87&lt;&gt;"",DA87=DA89,DA87=DA90)</f>
        <v>0</v>
      </c>
      <c r="DC87" s="66">
        <v>1500</v>
      </c>
      <c r="DD87" s="67">
        <v>0</v>
      </c>
      <c r="DE87" s="68">
        <v>1100</v>
      </c>
      <c r="DF87" s="67" t="s">
        <v>58</v>
      </c>
      <c r="DG87" s="69">
        <v>5</v>
      </c>
      <c r="DH87" s="70">
        <v>12</v>
      </c>
      <c r="DI87" s="67">
        <v>255</v>
      </c>
      <c r="DJ87" s="67">
        <v>0</v>
      </c>
      <c r="DK87" s="71">
        <v>0</v>
      </c>
      <c r="DL87" s="36"/>
      <c r="DM87" s="36"/>
      <c r="DN87" s="36"/>
      <c r="DO87" s="36"/>
      <c r="DP87" s="36"/>
      <c r="DQ87" s="36"/>
      <c r="DR87" s="36"/>
      <c r="DS87" s="36"/>
      <c r="DT87" s="36"/>
      <c r="DU87" s="36"/>
      <c r="DV87" s="36"/>
      <c r="DW87" s="36"/>
      <c r="DX87" s="36"/>
      <c r="DY87" s="36"/>
    </row>
    <row r="88" spans="84:129" ht="12.75" hidden="1" x14ac:dyDescent="0.2">
      <c r="CF88" s="36"/>
      <c r="CG88" s="36"/>
      <c r="CH88" s="36"/>
      <c r="CI88" s="36"/>
      <c r="CJ88" s="36"/>
      <c r="CK88" s="36"/>
      <c r="CL88" s="36"/>
      <c r="CM88" s="37"/>
      <c r="CN88" s="36"/>
      <c r="CO88" s="36"/>
      <c r="CP88" s="36"/>
      <c r="CQ88" s="36"/>
      <c r="CR88" s="62">
        <v>23</v>
      </c>
      <c r="CS88" s="63" t="s">
        <v>35</v>
      </c>
      <c r="CT88" s="66"/>
      <c r="CU88" s="66"/>
      <c r="CV88" s="66"/>
      <c r="CW88" s="66"/>
      <c r="CX88" s="66"/>
      <c r="CY88" s="66"/>
      <c r="CZ88" s="66"/>
      <c r="DA88" s="65"/>
      <c r="DB88" s="65"/>
      <c r="DC88" s="66"/>
      <c r="DD88" s="67">
        <v>0</v>
      </c>
      <c r="DE88" s="68"/>
      <c r="DF88" s="67" t="s">
        <v>58</v>
      </c>
      <c r="DG88" s="69"/>
      <c r="DH88" s="70"/>
      <c r="DI88" s="67"/>
      <c r="DJ88" s="67"/>
      <c r="DK88" s="71"/>
      <c r="DL88" s="36"/>
      <c r="DM88" s="36"/>
      <c r="DN88" s="36"/>
      <c r="DO88" s="36"/>
      <c r="DP88" s="36"/>
      <c r="DQ88" s="36"/>
      <c r="DR88" s="36"/>
      <c r="DS88" s="36"/>
      <c r="DT88" s="36"/>
      <c r="DU88" s="36"/>
      <c r="DV88" s="36"/>
      <c r="DW88" s="36"/>
      <c r="DX88" s="36"/>
      <c r="DY88" s="36"/>
    </row>
    <row r="89" spans="84:129" ht="12.75" hidden="1" x14ac:dyDescent="0.2">
      <c r="CF89" s="36"/>
      <c r="CG89" s="36"/>
      <c r="CH89" s="36"/>
      <c r="CI89" s="36"/>
      <c r="CJ89" s="36"/>
      <c r="CK89" s="36"/>
      <c r="CL89" s="36"/>
      <c r="CM89" s="37"/>
      <c r="CN89" s="36"/>
      <c r="CO89" s="36"/>
      <c r="CP89" s="36"/>
      <c r="CQ89" s="36"/>
      <c r="CR89" s="62">
        <v>24</v>
      </c>
      <c r="CS89" s="63" t="s">
        <v>15</v>
      </c>
      <c r="CT89" s="64">
        <v>2200</v>
      </c>
      <c r="CU89" s="64">
        <v>180</v>
      </c>
      <c r="CV89" s="64">
        <v>900</v>
      </c>
      <c r="CW89" s="64">
        <v>2500</v>
      </c>
      <c r="CX89" s="64">
        <v>7000</v>
      </c>
      <c r="CY89" s="64">
        <v>8750</v>
      </c>
      <c r="CZ89" s="64">
        <v>10500</v>
      </c>
      <c r="DA89" s="65"/>
      <c r="DB89" s="65" t="b">
        <f>AND(DA89&lt;&gt;"",DA89=DA87,DA89=DA90)</f>
        <v>0</v>
      </c>
      <c r="DC89" s="66">
        <v>1500</v>
      </c>
      <c r="DD89" s="67">
        <v>0</v>
      </c>
      <c r="DE89" s="68">
        <v>1100</v>
      </c>
      <c r="DF89" s="67" t="s">
        <v>58</v>
      </c>
      <c r="DG89" s="69">
        <v>5</v>
      </c>
      <c r="DH89" s="70">
        <v>12</v>
      </c>
      <c r="DI89" s="67">
        <v>255</v>
      </c>
      <c r="DJ89" s="67">
        <v>0</v>
      </c>
      <c r="DK89" s="71">
        <v>0</v>
      </c>
      <c r="DL89" s="36"/>
      <c r="DM89" s="36"/>
      <c r="DN89" s="36"/>
      <c r="DO89" s="36"/>
      <c r="DP89" s="36"/>
      <c r="DQ89" s="36"/>
      <c r="DR89" s="36"/>
      <c r="DS89" s="36"/>
      <c r="DT89" s="36"/>
      <c r="DU89" s="36"/>
      <c r="DV89" s="36"/>
      <c r="DW89" s="36"/>
      <c r="DX89" s="36"/>
      <c r="DY89" s="36"/>
    </row>
    <row r="90" spans="84:129" ht="12.75" hidden="1" x14ac:dyDescent="0.2">
      <c r="CF90" s="36"/>
      <c r="CG90" s="36"/>
      <c r="CH90" s="36"/>
      <c r="CI90" s="36"/>
      <c r="CJ90" s="36"/>
      <c r="CK90" s="36"/>
      <c r="CL90" s="36"/>
      <c r="CM90" s="37"/>
      <c r="CN90" s="36"/>
      <c r="CO90" s="36"/>
      <c r="CP90" s="36"/>
      <c r="CQ90" s="36"/>
      <c r="CR90" s="62">
        <v>25</v>
      </c>
      <c r="CS90" s="63" t="s">
        <v>16</v>
      </c>
      <c r="CT90" s="64">
        <v>2400</v>
      </c>
      <c r="CU90" s="64">
        <v>200</v>
      </c>
      <c r="CV90" s="64">
        <v>1000</v>
      </c>
      <c r="CW90" s="64">
        <v>3000</v>
      </c>
      <c r="CX90" s="64">
        <v>7500</v>
      </c>
      <c r="CY90" s="64">
        <v>9250</v>
      </c>
      <c r="CZ90" s="64">
        <v>11000</v>
      </c>
      <c r="DA90" s="65"/>
      <c r="DB90" s="65" t="b">
        <f>AND(DA90&lt;&gt;"",DA90=DA87,DA90=DA89)</f>
        <v>0</v>
      </c>
      <c r="DC90" s="66">
        <v>1500</v>
      </c>
      <c r="DD90" s="67">
        <v>0</v>
      </c>
      <c r="DE90" s="68">
        <v>1200</v>
      </c>
      <c r="DF90" s="67" t="s">
        <v>58</v>
      </c>
      <c r="DG90" s="69">
        <v>5</v>
      </c>
      <c r="DH90" s="70">
        <v>12</v>
      </c>
      <c r="DI90" s="67">
        <v>255</v>
      </c>
      <c r="DJ90" s="67">
        <v>0</v>
      </c>
      <c r="DK90" s="71">
        <v>0</v>
      </c>
      <c r="DL90" s="36"/>
      <c r="DM90" s="36"/>
      <c r="DN90" s="36"/>
      <c r="DO90" s="36"/>
      <c r="DP90" s="36"/>
      <c r="DQ90" s="36"/>
      <c r="DR90" s="36"/>
      <c r="DS90" s="36"/>
      <c r="DT90" s="36"/>
      <c r="DU90" s="36"/>
      <c r="DV90" s="36"/>
      <c r="DW90" s="36"/>
      <c r="DX90" s="36"/>
      <c r="DY90" s="36"/>
    </row>
    <row r="91" spans="84:129" ht="12.75" hidden="1" x14ac:dyDescent="0.2">
      <c r="CF91" s="36"/>
      <c r="CG91" s="36"/>
      <c r="CH91" s="36"/>
      <c r="CI91" s="36"/>
      <c r="CJ91" s="36"/>
      <c r="CK91" s="36"/>
      <c r="CL91" s="36"/>
      <c r="CM91" s="37"/>
      <c r="CN91" s="36"/>
      <c r="CO91" s="36"/>
      <c r="CP91" s="36"/>
      <c r="CQ91" s="36"/>
      <c r="CR91" s="62">
        <v>26</v>
      </c>
      <c r="CS91" s="63" t="s">
        <v>17</v>
      </c>
      <c r="CT91" s="64">
        <v>2000</v>
      </c>
      <c r="CU91" s="66"/>
      <c r="CV91" s="66"/>
      <c r="CW91" s="66"/>
      <c r="CX91" s="66"/>
      <c r="CY91" s="66"/>
      <c r="CZ91" s="66"/>
      <c r="DA91" s="65"/>
      <c r="DB91" s="65"/>
      <c r="DC91" s="66"/>
      <c r="DD91" s="67">
        <v>0</v>
      </c>
      <c r="DE91" s="68">
        <v>1000</v>
      </c>
      <c r="DF91" s="67" t="s">
        <v>58</v>
      </c>
      <c r="DG91" s="69">
        <v>5</v>
      </c>
      <c r="DH91" s="70">
        <v>12</v>
      </c>
      <c r="DI91" s="67"/>
      <c r="DJ91" s="67"/>
      <c r="DK91" s="71"/>
      <c r="DL91" s="36"/>
      <c r="DM91" s="36"/>
      <c r="DN91" s="36"/>
      <c r="DO91" s="36"/>
      <c r="DP91" s="36"/>
      <c r="DQ91" s="36"/>
      <c r="DR91" s="36"/>
      <c r="DS91" s="36"/>
      <c r="DT91" s="36"/>
      <c r="DU91" s="36"/>
      <c r="DV91" s="36"/>
      <c r="DW91" s="36"/>
      <c r="DX91" s="36"/>
      <c r="DY91" s="36"/>
    </row>
    <row r="92" spans="84:129" ht="12.75" hidden="1" x14ac:dyDescent="0.2">
      <c r="CF92" s="36"/>
      <c r="CG92" s="36"/>
      <c r="CH92" s="36"/>
      <c r="CI92" s="36"/>
      <c r="CJ92" s="36"/>
      <c r="CK92" s="36"/>
      <c r="CL92" s="36"/>
      <c r="CM92" s="37"/>
      <c r="CN92" s="36"/>
      <c r="CO92" s="36"/>
      <c r="CP92" s="36"/>
      <c r="CQ92" s="36"/>
      <c r="CR92" s="62">
        <v>27</v>
      </c>
      <c r="CS92" s="63" t="s">
        <v>18</v>
      </c>
      <c r="CT92" s="64">
        <v>2600</v>
      </c>
      <c r="CU92" s="64">
        <v>220</v>
      </c>
      <c r="CV92" s="64">
        <v>1100</v>
      </c>
      <c r="CW92" s="64">
        <v>3300</v>
      </c>
      <c r="CX92" s="64">
        <v>8000</v>
      </c>
      <c r="CY92" s="64">
        <v>9750</v>
      </c>
      <c r="CZ92" s="64">
        <v>11500</v>
      </c>
      <c r="DA92" s="65"/>
      <c r="DB92" s="65" t="b">
        <f>AND(DA92&lt;&gt;"",DA92=DA93,DA92=DA95)</f>
        <v>0</v>
      </c>
      <c r="DC92" s="66">
        <v>1500</v>
      </c>
      <c r="DD92" s="67">
        <v>0</v>
      </c>
      <c r="DE92" s="68">
        <v>1300</v>
      </c>
      <c r="DF92" s="67" t="s">
        <v>58</v>
      </c>
      <c r="DG92" s="69">
        <v>5</v>
      </c>
      <c r="DH92" s="70">
        <v>12</v>
      </c>
      <c r="DI92" s="67">
        <v>255</v>
      </c>
      <c r="DJ92" s="67">
        <v>255</v>
      </c>
      <c r="DK92" s="71">
        <v>0</v>
      </c>
      <c r="DL92" s="36"/>
      <c r="DM92" s="36"/>
      <c r="DN92" s="36"/>
      <c r="DO92" s="36"/>
      <c r="DP92" s="36"/>
      <c r="DQ92" s="36"/>
      <c r="DR92" s="36"/>
      <c r="DS92" s="36"/>
      <c r="DT92" s="36"/>
      <c r="DU92" s="36"/>
      <c r="DV92" s="36"/>
      <c r="DW92" s="36"/>
      <c r="DX92" s="36"/>
      <c r="DY92" s="36"/>
    </row>
    <row r="93" spans="84:129" ht="12.75" hidden="1" x14ac:dyDescent="0.2">
      <c r="CF93" s="36"/>
      <c r="CG93" s="36"/>
      <c r="CH93" s="36"/>
      <c r="CI93" s="36"/>
      <c r="CJ93" s="36"/>
      <c r="CK93" s="36"/>
      <c r="CL93" s="36"/>
      <c r="CM93" s="37"/>
      <c r="CN93" s="36"/>
      <c r="CO93" s="36"/>
      <c r="CP93" s="36"/>
      <c r="CQ93" s="36"/>
      <c r="CR93" s="62">
        <v>28</v>
      </c>
      <c r="CS93" s="63" t="s">
        <v>19</v>
      </c>
      <c r="CT93" s="64">
        <v>2600</v>
      </c>
      <c r="CU93" s="64">
        <v>220</v>
      </c>
      <c r="CV93" s="64">
        <v>1100</v>
      </c>
      <c r="CW93" s="64">
        <v>3300</v>
      </c>
      <c r="CX93" s="64">
        <v>8000</v>
      </c>
      <c r="CY93" s="64">
        <v>9750</v>
      </c>
      <c r="CZ93" s="64">
        <v>11500</v>
      </c>
      <c r="DA93" s="65"/>
      <c r="DB93" s="65" t="b">
        <f>AND(DA93&lt;&gt;"",DA93=DA92,DA93=DA95)</f>
        <v>0</v>
      </c>
      <c r="DC93" s="66">
        <v>1500</v>
      </c>
      <c r="DD93" s="67">
        <v>0</v>
      </c>
      <c r="DE93" s="68">
        <v>1300</v>
      </c>
      <c r="DF93" s="67" t="s">
        <v>58</v>
      </c>
      <c r="DG93" s="69">
        <v>5</v>
      </c>
      <c r="DH93" s="70">
        <v>12</v>
      </c>
      <c r="DI93" s="67">
        <v>255</v>
      </c>
      <c r="DJ93" s="67">
        <v>255</v>
      </c>
      <c r="DK93" s="71">
        <v>0</v>
      </c>
      <c r="DL93" s="36"/>
      <c r="DM93" s="36"/>
      <c r="DN93" s="36"/>
      <c r="DO93" s="36"/>
      <c r="DP93" s="36"/>
      <c r="DQ93" s="36"/>
      <c r="DR93" s="36"/>
      <c r="DS93" s="36"/>
      <c r="DT93" s="36"/>
      <c r="DU93" s="36"/>
      <c r="DV93" s="36"/>
      <c r="DW93" s="36"/>
      <c r="DX93" s="36"/>
      <c r="DY93" s="36"/>
    </row>
    <row r="94" spans="84:129" ht="12.75" hidden="1" x14ac:dyDescent="0.2">
      <c r="CF94" s="36"/>
      <c r="CG94" s="36"/>
      <c r="CH94" s="36"/>
      <c r="CI94" s="36"/>
      <c r="CJ94" s="36"/>
      <c r="CK94" s="36"/>
      <c r="CL94" s="36"/>
      <c r="CM94" s="37"/>
      <c r="CN94" s="36"/>
      <c r="CO94" s="36"/>
      <c r="CP94" s="36"/>
      <c r="CQ94" s="36"/>
      <c r="CR94" s="62">
        <v>29</v>
      </c>
      <c r="CS94" s="63" t="s">
        <v>28</v>
      </c>
      <c r="CT94" s="64">
        <v>1500</v>
      </c>
      <c r="CU94" s="66"/>
      <c r="CV94" s="66"/>
      <c r="CW94" s="66"/>
      <c r="CX94" s="66"/>
      <c r="CY94" s="66"/>
      <c r="CZ94" s="66"/>
      <c r="DA94" s="65"/>
      <c r="DB94" s="65"/>
      <c r="DC94" s="66"/>
      <c r="DD94" s="67">
        <v>0</v>
      </c>
      <c r="DE94" s="68">
        <v>750</v>
      </c>
      <c r="DF94" s="67" t="s">
        <v>58</v>
      </c>
      <c r="DG94" s="69">
        <v>5</v>
      </c>
      <c r="DH94" s="70">
        <v>12</v>
      </c>
      <c r="DI94" s="67"/>
      <c r="DJ94" s="67"/>
      <c r="DK94" s="71"/>
      <c r="DL94" s="36"/>
      <c r="DM94" s="36"/>
      <c r="DN94" s="36"/>
      <c r="DO94" s="36"/>
      <c r="DP94" s="36"/>
      <c r="DQ94" s="36"/>
      <c r="DR94" s="36"/>
      <c r="DS94" s="36"/>
      <c r="DT94" s="36"/>
      <c r="DU94" s="36"/>
      <c r="DV94" s="36"/>
      <c r="DW94" s="36"/>
      <c r="DX94" s="36"/>
      <c r="DY94" s="36"/>
    </row>
    <row r="95" spans="84:129" ht="12.75" hidden="1" x14ac:dyDescent="0.2">
      <c r="CF95" s="36"/>
      <c r="CG95" s="36"/>
      <c r="CH95" s="36"/>
      <c r="CI95" s="36"/>
      <c r="CJ95" s="36"/>
      <c r="CK95" s="36"/>
      <c r="CL95" s="36"/>
      <c r="CM95" s="37"/>
      <c r="CN95" s="36"/>
      <c r="CO95" s="36"/>
      <c r="CP95" s="36"/>
      <c r="CQ95" s="36"/>
      <c r="CR95" s="62">
        <v>30</v>
      </c>
      <c r="CS95" s="63" t="s">
        <v>20</v>
      </c>
      <c r="CT95" s="64">
        <v>2800</v>
      </c>
      <c r="CU95" s="64">
        <v>240</v>
      </c>
      <c r="CV95" s="64">
        <v>1200</v>
      </c>
      <c r="CW95" s="64">
        <v>3600</v>
      </c>
      <c r="CX95" s="64">
        <v>8500</v>
      </c>
      <c r="CY95" s="64">
        <v>10250</v>
      </c>
      <c r="CZ95" s="64">
        <v>12000</v>
      </c>
      <c r="DA95" s="65"/>
      <c r="DB95" s="65" t="b">
        <f>AND(DA95&lt;&gt;"",DA95=DA92,DA95=DA93)</f>
        <v>0</v>
      </c>
      <c r="DC95" s="66">
        <v>1500</v>
      </c>
      <c r="DD95" s="67">
        <v>0</v>
      </c>
      <c r="DE95" s="68">
        <v>1400</v>
      </c>
      <c r="DF95" s="67" t="s">
        <v>58</v>
      </c>
      <c r="DG95" s="69">
        <v>5</v>
      </c>
      <c r="DH95" s="70">
        <v>12</v>
      </c>
      <c r="DI95" s="67">
        <v>255</v>
      </c>
      <c r="DJ95" s="67">
        <v>255</v>
      </c>
      <c r="DK95" s="71">
        <v>0</v>
      </c>
      <c r="DL95" s="36"/>
      <c r="DM95" s="36"/>
      <c r="DN95" s="36"/>
      <c r="DO95" s="36"/>
      <c r="DP95" s="36"/>
      <c r="DQ95" s="36"/>
      <c r="DR95" s="36"/>
      <c r="DS95" s="36"/>
      <c r="DT95" s="36"/>
      <c r="DU95" s="36"/>
      <c r="DV95" s="36"/>
      <c r="DW95" s="36"/>
      <c r="DX95" s="36"/>
      <c r="DY95" s="36"/>
    </row>
    <row r="96" spans="84:129" ht="12.75" hidden="1" x14ac:dyDescent="0.2">
      <c r="CF96" s="36"/>
      <c r="CG96" s="36"/>
      <c r="CH96" s="36"/>
      <c r="CI96" s="36"/>
      <c r="CJ96" s="36"/>
      <c r="CK96" s="36"/>
      <c r="CL96" s="36"/>
      <c r="CM96" s="37"/>
      <c r="CN96" s="36"/>
      <c r="CO96" s="36"/>
      <c r="CP96" s="36"/>
      <c r="CQ96" s="36"/>
      <c r="CR96" s="62">
        <v>31</v>
      </c>
      <c r="CS96" s="63" t="s">
        <v>36</v>
      </c>
      <c r="CT96" s="66"/>
      <c r="CU96" s="66"/>
      <c r="CV96" s="66"/>
      <c r="CW96" s="66"/>
      <c r="CX96" s="66"/>
      <c r="CY96" s="66"/>
      <c r="CZ96" s="66"/>
      <c r="DA96" s="65"/>
      <c r="DB96" s="65"/>
      <c r="DC96" s="66"/>
      <c r="DD96" s="67">
        <v>0</v>
      </c>
      <c r="DE96" s="68"/>
      <c r="DF96" s="67" t="s">
        <v>58</v>
      </c>
      <c r="DG96" s="69"/>
      <c r="DH96" s="70"/>
      <c r="DI96" s="67"/>
      <c r="DJ96" s="67"/>
      <c r="DK96" s="71"/>
      <c r="DL96" s="36"/>
      <c r="DM96" s="36"/>
      <c r="DN96" s="36"/>
      <c r="DO96" s="36"/>
      <c r="DP96" s="36"/>
      <c r="DQ96" s="36"/>
      <c r="DR96" s="36"/>
      <c r="DS96" s="36"/>
      <c r="DT96" s="36"/>
      <c r="DU96" s="36"/>
      <c r="DV96" s="36"/>
      <c r="DW96" s="36"/>
      <c r="DX96" s="36"/>
      <c r="DY96" s="36"/>
    </row>
    <row r="97" spans="84:129" ht="12.75" hidden="1" x14ac:dyDescent="0.2">
      <c r="CF97" s="36"/>
      <c r="CG97" s="36"/>
      <c r="CH97" s="36"/>
      <c r="CI97" s="36"/>
      <c r="CJ97" s="36"/>
      <c r="CK97" s="36"/>
      <c r="CL97" s="36"/>
      <c r="CM97" s="37"/>
      <c r="CN97" s="36"/>
      <c r="CO97" s="36"/>
      <c r="CP97" s="36"/>
      <c r="CQ97" s="36"/>
      <c r="CR97" s="62">
        <v>32</v>
      </c>
      <c r="CS97" s="63" t="s">
        <v>21</v>
      </c>
      <c r="CT97" s="64">
        <v>3000</v>
      </c>
      <c r="CU97" s="64">
        <v>260</v>
      </c>
      <c r="CV97" s="64">
        <v>1300</v>
      </c>
      <c r="CW97" s="64">
        <v>3900</v>
      </c>
      <c r="CX97" s="64">
        <v>9000</v>
      </c>
      <c r="CY97" s="64">
        <v>11000</v>
      </c>
      <c r="CZ97" s="64">
        <v>12750</v>
      </c>
      <c r="DA97" s="65"/>
      <c r="DB97" s="65" t="b">
        <f>AND(DA97&lt;&gt;"",DA97=DA98,DA97=DA100)</f>
        <v>0</v>
      </c>
      <c r="DC97" s="66">
        <v>2000</v>
      </c>
      <c r="DD97" s="67">
        <v>0</v>
      </c>
      <c r="DE97" s="68">
        <v>1500</v>
      </c>
      <c r="DF97" s="67" t="s">
        <v>58</v>
      </c>
      <c r="DG97" s="69">
        <v>11</v>
      </c>
      <c r="DH97" s="70">
        <v>5</v>
      </c>
      <c r="DI97" s="67">
        <v>180</v>
      </c>
      <c r="DJ97" s="67">
        <v>255</v>
      </c>
      <c r="DK97" s="71">
        <v>140</v>
      </c>
      <c r="DL97" s="36"/>
      <c r="DM97" s="36"/>
      <c r="DN97" s="36"/>
      <c r="DO97" s="36"/>
      <c r="DP97" s="36"/>
      <c r="DQ97" s="36"/>
      <c r="DR97" s="36"/>
      <c r="DS97" s="36"/>
      <c r="DT97" s="36"/>
      <c r="DU97" s="36"/>
      <c r="DV97" s="36"/>
      <c r="DW97" s="36"/>
      <c r="DX97" s="36"/>
      <c r="DY97" s="36"/>
    </row>
    <row r="98" spans="84:129" ht="12.75" hidden="1" x14ac:dyDescent="0.2">
      <c r="CF98" s="36"/>
      <c r="CG98" s="36"/>
      <c r="CH98" s="36"/>
      <c r="CI98" s="36"/>
      <c r="CJ98" s="36"/>
      <c r="CK98" s="36"/>
      <c r="CL98" s="36"/>
      <c r="CM98" s="37"/>
      <c r="CN98" s="36"/>
      <c r="CO98" s="36"/>
      <c r="CP98" s="36"/>
      <c r="CQ98" s="36"/>
      <c r="CR98" s="62">
        <v>33</v>
      </c>
      <c r="CS98" s="63" t="s">
        <v>22</v>
      </c>
      <c r="CT98" s="64">
        <v>3000</v>
      </c>
      <c r="CU98" s="64">
        <v>260</v>
      </c>
      <c r="CV98" s="64">
        <v>1300</v>
      </c>
      <c r="CW98" s="64">
        <v>3900</v>
      </c>
      <c r="CX98" s="64">
        <v>9000</v>
      </c>
      <c r="CY98" s="64">
        <v>11000</v>
      </c>
      <c r="CZ98" s="64">
        <v>12750</v>
      </c>
      <c r="DA98" s="65"/>
      <c r="DB98" s="65" t="b">
        <f>AND(DA98&lt;&gt;"",DA98=DA97,DA98=DA100)</f>
        <v>0</v>
      </c>
      <c r="DC98" s="66">
        <v>2000</v>
      </c>
      <c r="DD98" s="67">
        <v>0</v>
      </c>
      <c r="DE98" s="68">
        <v>1500</v>
      </c>
      <c r="DF98" s="67" t="s">
        <v>58</v>
      </c>
      <c r="DG98" s="69">
        <v>11</v>
      </c>
      <c r="DH98" s="70">
        <v>5</v>
      </c>
      <c r="DI98" s="67">
        <v>180</v>
      </c>
      <c r="DJ98" s="67">
        <v>255</v>
      </c>
      <c r="DK98" s="71">
        <v>140</v>
      </c>
      <c r="DL98" s="36"/>
      <c r="DM98" s="36"/>
      <c r="DN98" s="36"/>
      <c r="DO98" s="36"/>
      <c r="DP98" s="36"/>
      <c r="DQ98" s="36"/>
      <c r="DR98" s="36"/>
      <c r="DS98" s="36"/>
      <c r="DT98" s="36"/>
      <c r="DU98" s="36"/>
      <c r="DV98" s="36"/>
      <c r="DW98" s="36"/>
      <c r="DX98" s="36"/>
      <c r="DY98" s="36"/>
    </row>
    <row r="99" spans="84:129" ht="12.75" hidden="1" x14ac:dyDescent="0.2">
      <c r="CF99" s="36"/>
      <c r="CG99" s="36"/>
      <c r="CH99" s="36"/>
      <c r="CI99" s="36"/>
      <c r="CJ99" s="36"/>
      <c r="CK99" s="36"/>
      <c r="CL99" s="36"/>
      <c r="CM99" s="37"/>
      <c r="CN99" s="36"/>
      <c r="CO99" s="36"/>
      <c r="CP99" s="36"/>
      <c r="CQ99" s="36"/>
      <c r="CR99" s="62">
        <v>34</v>
      </c>
      <c r="CS99" s="63" t="s">
        <v>37</v>
      </c>
      <c r="CT99" s="66"/>
      <c r="CU99" s="66"/>
      <c r="CV99" s="66"/>
      <c r="CW99" s="66"/>
      <c r="CX99" s="66"/>
      <c r="CY99" s="66"/>
      <c r="CZ99" s="66"/>
      <c r="DA99" s="65"/>
      <c r="DB99" s="65"/>
      <c r="DC99" s="66"/>
      <c r="DD99" s="67">
        <v>0</v>
      </c>
      <c r="DE99" s="68"/>
      <c r="DF99" s="67" t="s">
        <v>58</v>
      </c>
      <c r="DG99" s="69"/>
      <c r="DH99" s="70"/>
      <c r="DI99" s="67"/>
      <c r="DJ99" s="67"/>
      <c r="DK99" s="71"/>
      <c r="DL99" s="36"/>
      <c r="DM99" s="36"/>
      <c r="DN99" s="36"/>
      <c r="DO99" s="36"/>
      <c r="DP99" s="36"/>
      <c r="DQ99" s="36"/>
      <c r="DR99" s="36"/>
      <c r="DS99" s="36"/>
      <c r="DT99" s="36"/>
      <c r="DU99" s="36"/>
      <c r="DV99" s="36"/>
      <c r="DW99" s="36"/>
      <c r="DX99" s="36"/>
      <c r="DY99" s="36"/>
    </row>
    <row r="100" spans="84:129" ht="12.75" hidden="1" x14ac:dyDescent="0.2">
      <c r="CF100" s="36"/>
      <c r="CG100" s="36"/>
      <c r="CH100" s="36"/>
      <c r="CI100" s="36"/>
      <c r="CJ100" s="36"/>
      <c r="CK100" s="36"/>
      <c r="CL100" s="36"/>
      <c r="CM100" s="37"/>
      <c r="CN100" s="36"/>
      <c r="CO100" s="36"/>
      <c r="CP100" s="36"/>
      <c r="CQ100" s="36"/>
      <c r="CR100" s="62">
        <v>35</v>
      </c>
      <c r="CS100" s="63" t="s">
        <v>23</v>
      </c>
      <c r="CT100" s="64">
        <v>3200</v>
      </c>
      <c r="CU100" s="64">
        <v>280</v>
      </c>
      <c r="CV100" s="64">
        <v>1500</v>
      </c>
      <c r="CW100" s="64">
        <v>4500</v>
      </c>
      <c r="CX100" s="64">
        <v>10000</v>
      </c>
      <c r="CY100" s="64">
        <v>12000</v>
      </c>
      <c r="CZ100" s="64">
        <v>14000</v>
      </c>
      <c r="DA100" s="65"/>
      <c r="DB100" s="65" t="b">
        <f>AND(DA100&lt;&gt;"",DA100=DA97,DA100=DA98)</f>
        <v>0</v>
      </c>
      <c r="DC100" s="66">
        <v>2000</v>
      </c>
      <c r="DD100" s="67">
        <v>0</v>
      </c>
      <c r="DE100" s="68">
        <v>1600</v>
      </c>
      <c r="DF100" s="67" t="s">
        <v>58</v>
      </c>
      <c r="DG100" s="69">
        <v>11</v>
      </c>
      <c r="DH100" s="70">
        <v>5</v>
      </c>
      <c r="DI100" s="67">
        <v>180</v>
      </c>
      <c r="DJ100" s="67">
        <v>255</v>
      </c>
      <c r="DK100" s="71">
        <v>140</v>
      </c>
      <c r="DL100" s="36"/>
      <c r="DM100" s="36"/>
      <c r="DN100" s="36"/>
      <c r="DO100" s="36"/>
      <c r="DP100" s="36"/>
      <c r="DQ100" s="36"/>
      <c r="DR100" s="36"/>
      <c r="DS100" s="36"/>
      <c r="DT100" s="36"/>
      <c r="DU100" s="36"/>
      <c r="DV100" s="36"/>
      <c r="DW100" s="36"/>
      <c r="DX100" s="36"/>
      <c r="DY100" s="36"/>
    </row>
    <row r="101" spans="84:129" ht="12.75" hidden="1" x14ac:dyDescent="0.2">
      <c r="CF101" s="36"/>
      <c r="CG101" s="36"/>
      <c r="CH101" s="36"/>
      <c r="CI101" s="36"/>
      <c r="CJ101" s="36"/>
      <c r="CK101" s="36"/>
      <c r="CL101" s="36"/>
      <c r="CM101" s="37"/>
      <c r="CN101" s="36"/>
      <c r="CO101" s="36"/>
      <c r="CP101" s="36"/>
      <c r="CQ101" s="36"/>
      <c r="CR101" s="62">
        <v>36</v>
      </c>
      <c r="CS101" s="63" t="s">
        <v>26</v>
      </c>
      <c r="CT101" s="64">
        <v>2000</v>
      </c>
      <c r="CU101" s="66"/>
      <c r="CV101" s="66"/>
      <c r="CW101" s="66"/>
      <c r="CX101" s="66"/>
      <c r="CY101" s="66"/>
      <c r="CZ101" s="66"/>
      <c r="DA101" s="65"/>
      <c r="DB101" s="65"/>
      <c r="DC101" s="66"/>
      <c r="DD101" s="67">
        <v>0</v>
      </c>
      <c r="DE101" s="68">
        <v>1000</v>
      </c>
      <c r="DF101" s="67" t="s">
        <v>58</v>
      </c>
      <c r="DG101" s="69">
        <v>11</v>
      </c>
      <c r="DH101" s="70">
        <v>5</v>
      </c>
      <c r="DI101" s="67"/>
      <c r="DJ101" s="67"/>
      <c r="DK101" s="71"/>
      <c r="DL101" s="36"/>
      <c r="DM101" s="36"/>
      <c r="DN101" s="36"/>
      <c r="DO101" s="36"/>
      <c r="DP101" s="36"/>
      <c r="DQ101" s="36"/>
      <c r="DR101" s="36"/>
      <c r="DS101" s="36"/>
      <c r="DT101" s="36"/>
      <c r="DU101" s="36"/>
      <c r="DV101" s="36"/>
      <c r="DW101" s="36"/>
      <c r="DX101" s="36"/>
      <c r="DY101" s="36"/>
    </row>
    <row r="102" spans="84:129" ht="12.75" hidden="1" x14ac:dyDescent="0.2">
      <c r="CF102" s="36"/>
      <c r="CG102" s="36"/>
      <c r="CH102" s="36"/>
      <c r="CI102" s="36"/>
      <c r="CJ102" s="36"/>
      <c r="CK102" s="36"/>
      <c r="CL102" s="36"/>
      <c r="CM102" s="37"/>
      <c r="CN102" s="36"/>
      <c r="CO102" s="36"/>
      <c r="CP102" s="36"/>
      <c r="CQ102" s="36"/>
      <c r="CR102" s="62">
        <v>37</v>
      </c>
      <c r="CS102" s="63" t="s">
        <v>38</v>
      </c>
      <c r="CT102" s="66"/>
      <c r="CU102" s="66"/>
      <c r="CV102" s="66"/>
      <c r="CW102" s="66"/>
      <c r="CX102" s="66"/>
      <c r="CY102" s="66"/>
      <c r="CZ102" s="66"/>
      <c r="DA102" s="65"/>
      <c r="DB102" s="65"/>
      <c r="DC102" s="66"/>
      <c r="DD102" s="67">
        <v>0</v>
      </c>
      <c r="DE102" s="68"/>
      <c r="DF102" s="67" t="s">
        <v>58</v>
      </c>
      <c r="DG102" s="69"/>
      <c r="DH102" s="70"/>
      <c r="DI102" s="67"/>
      <c r="DJ102" s="67"/>
      <c r="DK102" s="71"/>
      <c r="DL102" s="36"/>
      <c r="DM102" s="36"/>
      <c r="DN102" s="36"/>
      <c r="DO102" s="36"/>
      <c r="DP102" s="36"/>
      <c r="DQ102" s="36"/>
      <c r="DR102" s="36"/>
      <c r="DS102" s="36"/>
      <c r="DT102" s="36"/>
      <c r="DU102" s="36"/>
      <c r="DV102" s="36"/>
      <c r="DW102" s="36"/>
      <c r="DX102" s="36"/>
      <c r="DY102" s="36"/>
    </row>
    <row r="103" spans="84:129" ht="12.75" hidden="1" x14ac:dyDescent="0.2">
      <c r="CF103" s="36"/>
      <c r="CG103" s="36"/>
      <c r="CH103" s="36"/>
      <c r="CI103" s="36"/>
      <c r="CJ103" s="36"/>
      <c r="CK103" s="36"/>
      <c r="CL103" s="36"/>
      <c r="CM103" s="37"/>
      <c r="CN103" s="36"/>
      <c r="CO103" s="36"/>
      <c r="CP103" s="36"/>
      <c r="CQ103" s="36"/>
      <c r="CR103" s="62">
        <v>38</v>
      </c>
      <c r="CS103" s="63" t="s">
        <v>24</v>
      </c>
      <c r="CT103" s="64">
        <v>3500</v>
      </c>
      <c r="CU103" s="64">
        <v>350</v>
      </c>
      <c r="CV103" s="64">
        <v>1750</v>
      </c>
      <c r="CW103" s="64">
        <v>5000</v>
      </c>
      <c r="CX103" s="64">
        <v>11000</v>
      </c>
      <c r="CY103" s="64">
        <v>13000</v>
      </c>
      <c r="CZ103" s="64">
        <v>15000</v>
      </c>
      <c r="DA103" s="65"/>
      <c r="DB103" s="65" t="b">
        <f>AND(DA103&lt;&gt;"",DA103=DA105)</f>
        <v>0</v>
      </c>
      <c r="DC103" s="66">
        <v>2000</v>
      </c>
      <c r="DD103" s="67">
        <v>0</v>
      </c>
      <c r="DE103" s="68">
        <v>1750</v>
      </c>
      <c r="DF103" s="67" t="s">
        <v>58</v>
      </c>
      <c r="DG103" s="69">
        <v>11</v>
      </c>
      <c r="DH103" s="70">
        <v>5</v>
      </c>
      <c r="DI103" s="67">
        <v>60</v>
      </c>
      <c r="DJ103" s="67">
        <v>110</v>
      </c>
      <c r="DK103" s="71">
        <v>250</v>
      </c>
      <c r="DL103" s="36"/>
      <c r="DM103" s="36"/>
      <c r="DN103" s="36"/>
      <c r="DO103" s="36"/>
      <c r="DP103" s="36"/>
      <c r="DQ103" s="36"/>
      <c r="DR103" s="36"/>
      <c r="DS103" s="36"/>
      <c r="DT103" s="36"/>
      <c r="DU103" s="36"/>
      <c r="DV103" s="36"/>
      <c r="DW103" s="36"/>
      <c r="DX103" s="36"/>
      <c r="DY103" s="36"/>
    </row>
    <row r="104" spans="84:129" ht="12.75" hidden="1" x14ac:dyDescent="0.2">
      <c r="CF104" s="36"/>
      <c r="CG104" s="36"/>
      <c r="CH104" s="36"/>
      <c r="CI104" s="36"/>
      <c r="CJ104" s="36"/>
      <c r="CK104" s="36"/>
      <c r="CL104" s="36"/>
      <c r="CM104" s="37"/>
      <c r="CN104" s="36"/>
      <c r="CO104" s="36"/>
      <c r="CP104" s="36"/>
      <c r="CQ104" s="36"/>
      <c r="CR104" s="62">
        <v>39</v>
      </c>
      <c r="CS104" s="63" t="s">
        <v>39</v>
      </c>
      <c r="CT104" s="64">
        <v>1000</v>
      </c>
      <c r="CU104" s="66"/>
      <c r="CV104" s="66"/>
      <c r="CW104" s="66"/>
      <c r="CX104" s="66"/>
      <c r="CY104" s="66"/>
      <c r="CZ104" s="66"/>
      <c r="DA104" s="65"/>
      <c r="DB104" s="65"/>
      <c r="DC104" s="66"/>
      <c r="DD104" s="67">
        <v>0</v>
      </c>
      <c r="DE104" s="68"/>
      <c r="DF104" s="67" t="s">
        <v>58</v>
      </c>
      <c r="DG104" s="69"/>
      <c r="DH104" s="70"/>
      <c r="DI104" s="67"/>
      <c r="DJ104" s="67"/>
      <c r="DK104" s="71"/>
      <c r="DL104" s="36"/>
      <c r="DM104" s="36"/>
      <c r="DN104" s="36"/>
      <c r="DO104" s="36"/>
      <c r="DP104" s="36"/>
      <c r="DQ104" s="36"/>
      <c r="DR104" s="36"/>
      <c r="DS104" s="36"/>
      <c r="DT104" s="36"/>
      <c r="DU104" s="36"/>
      <c r="DV104" s="36"/>
      <c r="DW104" s="36"/>
      <c r="DX104" s="36"/>
      <c r="DY104" s="36"/>
    </row>
    <row r="105" spans="84:129" ht="12.75" hidden="1" x14ac:dyDescent="0.2">
      <c r="CF105" s="36"/>
      <c r="CG105" s="36"/>
      <c r="CH105" s="36"/>
      <c r="CI105" s="36"/>
      <c r="CJ105" s="36"/>
      <c r="CK105" s="36"/>
      <c r="CL105" s="36"/>
      <c r="CM105" s="37"/>
      <c r="CN105" s="36"/>
      <c r="CO105" s="36"/>
      <c r="CP105" s="36"/>
      <c r="CQ105" s="36"/>
      <c r="CR105" s="62">
        <v>40</v>
      </c>
      <c r="CS105" s="63" t="s">
        <v>25</v>
      </c>
      <c r="CT105" s="64">
        <v>4000</v>
      </c>
      <c r="CU105" s="64">
        <v>500</v>
      </c>
      <c r="CV105" s="64">
        <v>2000</v>
      </c>
      <c r="CW105" s="64">
        <v>6000</v>
      </c>
      <c r="CX105" s="64">
        <v>14000</v>
      </c>
      <c r="CY105" s="64">
        <v>17000</v>
      </c>
      <c r="CZ105" s="64">
        <v>20000</v>
      </c>
      <c r="DA105" s="65"/>
      <c r="DB105" s="65" t="b">
        <f>AND(DA105&lt;&gt;"",DA105=DA103)</f>
        <v>0</v>
      </c>
      <c r="DC105" s="66">
        <v>2000</v>
      </c>
      <c r="DD105" s="67">
        <v>0</v>
      </c>
      <c r="DE105" s="68">
        <v>2000</v>
      </c>
      <c r="DF105" s="67" t="s">
        <v>58</v>
      </c>
      <c r="DG105" s="69">
        <v>11</v>
      </c>
      <c r="DH105" s="70">
        <v>5</v>
      </c>
      <c r="DI105" s="67">
        <v>60</v>
      </c>
      <c r="DJ105" s="67">
        <v>110</v>
      </c>
      <c r="DK105" s="71">
        <v>250</v>
      </c>
      <c r="DL105" s="36"/>
      <c r="DM105" s="36"/>
      <c r="DN105" s="36"/>
      <c r="DO105" s="36"/>
      <c r="DP105" s="36"/>
      <c r="DQ105" s="36"/>
      <c r="DR105" s="36"/>
      <c r="DS105" s="36"/>
      <c r="DT105" s="36"/>
      <c r="DU105" s="36"/>
      <c r="DV105" s="36"/>
      <c r="DW105" s="36"/>
      <c r="DX105" s="36"/>
      <c r="DY105" s="36"/>
    </row>
    <row r="106" spans="84:129" ht="13.5" hidden="1" thickBot="1" x14ac:dyDescent="0.25">
      <c r="CF106" s="36"/>
      <c r="CG106" s="36"/>
      <c r="CH106" s="36"/>
      <c r="CI106" s="36"/>
      <c r="CJ106" s="36"/>
      <c r="CK106" s="36"/>
      <c r="CL106" s="36"/>
      <c r="CM106" s="37"/>
      <c r="CN106" s="36"/>
      <c r="CO106" s="36"/>
      <c r="CP106" s="36"/>
      <c r="CQ106" s="36"/>
      <c r="CR106" s="76">
        <v>50</v>
      </c>
      <c r="CS106" s="77" t="s">
        <v>40</v>
      </c>
      <c r="CT106" s="78"/>
      <c r="CU106" s="78"/>
      <c r="CV106" s="78"/>
      <c r="CW106" s="78"/>
      <c r="CX106" s="78"/>
      <c r="CY106" s="78"/>
      <c r="CZ106" s="78"/>
      <c r="DA106" s="79"/>
      <c r="DB106" s="79"/>
      <c r="DC106" s="80"/>
      <c r="DD106" s="81">
        <v>0</v>
      </c>
      <c r="DE106" s="82"/>
      <c r="DF106" s="81" t="s">
        <v>58</v>
      </c>
      <c r="DG106" s="83"/>
      <c r="DH106" s="84"/>
      <c r="DI106" s="81"/>
      <c r="DJ106" s="81"/>
      <c r="DK106" s="85"/>
      <c r="DL106" s="36"/>
      <c r="DM106" s="36"/>
      <c r="DN106" s="36"/>
      <c r="DO106" s="36"/>
      <c r="DP106" s="36"/>
      <c r="DQ106" s="36"/>
      <c r="DR106" s="36"/>
      <c r="DS106" s="36"/>
      <c r="DT106" s="36"/>
      <c r="DU106" s="36"/>
      <c r="DV106" s="36"/>
      <c r="DW106" s="36"/>
      <c r="DX106" s="36"/>
      <c r="DY106" s="36"/>
    </row>
    <row r="107" spans="84:129" ht="9" hidden="1" customHeight="1" x14ac:dyDescent="0.2">
      <c r="CF107" s="36"/>
      <c r="CG107" s="36"/>
      <c r="CH107" s="36"/>
      <c r="CI107" s="36"/>
      <c r="CJ107" s="36"/>
      <c r="CK107" s="36"/>
      <c r="CL107" s="36"/>
      <c r="CM107" s="37"/>
      <c r="CN107" s="36"/>
      <c r="CO107" s="36"/>
      <c r="CP107" s="36"/>
      <c r="CQ107" s="36"/>
      <c r="CR107" s="36"/>
      <c r="CS107" s="36"/>
      <c r="CT107" s="36"/>
      <c r="CU107" s="36"/>
      <c r="CV107" s="36"/>
      <c r="CW107" s="36"/>
      <c r="CX107" s="36"/>
      <c r="CY107" s="36"/>
      <c r="CZ107" s="36"/>
      <c r="DA107" s="36"/>
      <c r="DB107" s="36"/>
      <c r="DC107" s="36"/>
      <c r="DD107" s="36"/>
      <c r="DE107" s="36"/>
      <c r="DF107" s="36"/>
      <c r="DG107" s="36"/>
      <c r="DH107" s="36"/>
      <c r="DI107" s="36"/>
      <c r="DJ107" s="36"/>
      <c r="DK107" s="36"/>
      <c r="DL107" s="36"/>
      <c r="DM107" s="36"/>
      <c r="DN107" s="36"/>
      <c r="DO107" s="36"/>
      <c r="DP107" s="36"/>
      <c r="DQ107" s="36"/>
      <c r="DR107" s="36"/>
      <c r="DS107" s="36"/>
      <c r="DT107" s="36"/>
      <c r="DU107" s="36"/>
      <c r="DV107" s="36"/>
      <c r="DW107" s="36"/>
      <c r="DX107" s="36"/>
      <c r="DY107" s="36"/>
    </row>
    <row r="108" spans="84:129" ht="9" hidden="1" customHeight="1" x14ac:dyDescent="0.2">
      <c r="CF108" s="36"/>
      <c r="CG108" s="36"/>
      <c r="CH108" s="36"/>
      <c r="CI108" s="36"/>
      <c r="CJ108" s="36"/>
      <c r="CK108" s="36"/>
      <c r="CL108" s="36"/>
      <c r="CM108" s="37"/>
      <c r="CN108" s="36"/>
      <c r="CO108" s="36"/>
      <c r="CP108" s="36"/>
      <c r="CQ108" s="36"/>
      <c r="CR108" s="36"/>
      <c r="CS108" s="36"/>
      <c r="CT108" s="36"/>
      <c r="CU108" s="36"/>
      <c r="CV108" s="36"/>
      <c r="CW108" s="36"/>
      <c r="CX108" s="36"/>
      <c r="CY108" s="36"/>
      <c r="CZ108" s="36"/>
      <c r="DA108" s="36"/>
      <c r="DB108" s="36"/>
      <c r="DC108" s="36"/>
      <c r="DD108" s="36"/>
      <c r="DE108" s="36"/>
      <c r="DF108" s="36"/>
      <c r="DG108" s="36"/>
      <c r="DH108" s="36"/>
      <c r="DI108" s="36"/>
      <c r="DJ108" s="36"/>
      <c r="DK108" s="36"/>
      <c r="DL108" s="36"/>
      <c r="DM108" s="36"/>
      <c r="DN108" s="36"/>
      <c r="DO108" s="36"/>
      <c r="DP108" s="36"/>
      <c r="DQ108" s="36"/>
      <c r="DR108" s="36"/>
      <c r="DS108" s="36"/>
      <c r="DT108" s="36"/>
      <c r="DU108" s="36"/>
      <c r="DV108" s="36"/>
      <c r="DW108" s="36"/>
      <c r="DX108" s="36"/>
      <c r="DY108" s="36"/>
    </row>
    <row r="109" spans="84:129" ht="12" hidden="1" customHeight="1" x14ac:dyDescent="0.2">
      <c r="CF109" s="36"/>
      <c r="CG109" s="36"/>
      <c r="CH109" s="36"/>
      <c r="CI109" s="36"/>
      <c r="CJ109" s="36"/>
      <c r="CK109" s="36"/>
      <c r="CL109" s="36"/>
      <c r="CM109" s="37"/>
      <c r="CN109" s="36"/>
      <c r="CO109" s="36"/>
      <c r="CP109" s="36"/>
      <c r="CQ109" s="36"/>
      <c r="CR109" s="36" t="s">
        <v>72</v>
      </c>
      <c r="CS109" s="36"/>
      <c r="CT109" s="36"/>
      <c r="CU109" s="36"/>
      <c r="CV109" s="36"/>
      <c r="CW109" s="36"/>
      <c r="CX109" s="36"/>
      <c r="CY109" s="36"/>
      <c r="CZ109" s="36"/>
      <c r="DA109" s="36"/>
      <c r="DB109" s="36"/>
      <c r="DC109" s="36" t="s">
        <v>82</v>
      </c>
      <c r="DD109" s="36">
        <f>SUMIF(AnzahlHäuser,"&lt;5",AnzahlHäuser)</f>
        <v>0</v>
      </c>
      <c r="DE109" s="36"/>
      <c r="DF109" s="36"/>
      <c r="DG109" s="36"/>
      <c r="DH109" s="36"/>
      <c r="DI109" s="36"/>
      <c r="DJ109" s="36"/>
      <c r="DK109" s="36"/>
      <c r="DL109" s="36"/>
      <c r="DM109" s="36"/>
      <c r="DN109" s="36"/>
      <c r="DO109" s="36"/>
      <c r="DP109" s="36"/>
      <c r="DQ109" s="36"/>
      <c r="DR109" s="36"/>
      <c r="DS109" s="36"/>
      <c r="DT109" s="36"/>
      <c r="DU109" s="36"/>
      <c r="DV109" s="36"/>
      <c r="DW109" s="36"/>
      <c r="DX109" s="36"/>
      <c r="DY109" s="36"/>
    </row>
    <row r="110" spans="84:129" ht="12" hidden="1" customHeight="1" x14ac:dyDescent="0.2">
      <c r="CF110" s="36"/>
      <c r="CG110" s="36"/>
      <c r="CH110" s="36"/>
      <c r="CI110" s="36"/>
      <c r="CJ110" s="36"/>
      <c r="CK110" s="36"/>
      <c r="CL110" s="36"/>
      <c r="CM110" s="37"/>
      <c r="CN110" s="86"/>
      <c r="CO110" s="86"/>
      <c r="CP110" s="86"/>
      <c r="CQ110" s="36"/>
      <c r="CR110" s="36">
        <v>1</v>
      </c>
      <c r="CS110" s="105" t="s">
        <v>89</v>
      </c>
      <c r="CT110" s="105"/>
      <c r="CU110" s="105"/>
      <c r="CV110" s="105"/>
      <c r="CW110" s="105"/>
      <c r="CX110" s="36">
        <v>500</v>
      </c>
      <c r="CY110" s="36"/>
      <c r="CZ110" s="36"/>
      <c r="DA110" s="36"/>
      <c r="DB110" s="36"/>
      <c r="DC110" s="36" t="s">
        <v>99</v>
      </c>
      <c r="DD110" s="36">
        <f t="array" ref="DD110">SUM(((AnzahlHäuser=5)*1))</f>
        <v>0</v>
      </c>
      <c r="DE110" s="36"/>
      <c r="DF110" s="36"/>
      <c r="DG110" s="36"/>
      <c r="DH110" s="36"/>
      <c r="DI110" s="36"/>
      <c r="DJ110" s="36"/>
      <c r="DK110" s="36"/>
      <c r="DL110" s="36"/>
      <c r="DM110" s="36"/>
      <c r="DN110" s="36"/>
      <c r="DO110" s="36"/>
      <c r="DP110" s="36"/>
      <c r="DQ110" s="36"/>
      <c r="DR110" s="36"/>
      <c r="DS110" s="36"/>
      <c r="DT110" s="36"/>
      <c r="DU110" s="36"/>
      <c r="DV110" s="36"/>
      <c r="DW110" s="36"/>
      <c r="DX110" s="36"/>
      <c r="DY110" s="36"/>
    </row>
    <row r="111" spans="84:129" ht="12" hidden="1" customHeight="1" x14ac:dyDescent="0.2">
      <c r="CF111" s="36"/>
      <c r="CG111" s="36"/>
      <c r="CH111" s="36"/>
      <c r="CI111" s="36"/>
      <c r="CJ111" s="36"/>
      <c r="CK111" s="36"/>
      <c r="CL111" s="36"/>
      <c r="CM111" s="37"/>
      <c r="CN111" s="86"/>
      <c r="CO111" s="86"/>
      <c r="CP111" s="86"/>
      <c r="CQ111" s="36"/>
      <c r="CR111" s="36">
        <v>2</v>
      </c>
      <c r="CS111" s="105" t="s">
        <v>90</v>
      </c>
      <c r="CT111" s="105"/>
      <c r="CU111" s="105"/>
      <c r="CV111" s="105"/>
      <c r="CW111" s="105"/>
      <c r="CX111" s="36">
        <v>1500</v>
      </c>
      <c r="CY111" s="36"/>
      <c r="CZ111" s="36"/>
      <c r="DA111" s="36"/>
      <c r="DB111" s="36"/>
      <c r="DC111" s="36"/>
      <c r="DD111" s="36"/>
      <c r="DE111" s="36"/>
      <c r="DF111" s="36"/>
      <c r="DG111" s="36"/>
      <c r="DH111" s="36"/>
      <c r="DI111" s="36"/>
      <c r="DJ111" s="36"/>
      <c r="DK111" s="36"/>
      <c r="DL111" s="36"/>
      <c r="DM111" s="36"/>
      <c r="DN111" s="36"/>
      <c r="DO111" s="36"/>
      <c r="DP111" s="36"/>
      <c r="DQ111" s="36"/>
      <c r="DR111" s="36"/>
      <c r="DS111" s="36"/>
      <c r="DT111" s="36"/>
      <c r="DU111" s="36"/>
      <c r="DV111" s="36"/>
      <c r="DW111" s="36"/>
      <c r="DX111" s="36"/>
      <c r="DY111" s="36"/>
    </row>
    <row r="112" spans="84:129" ht="12" hidden="1" customHeight="1" x14ac:dyDescent="0.2">
      <c r="CF112" s="36"/>
      <c r="CG112" s="36"/>
      <c r="CH112" s="36"/>
      <c r="CI112" s="36"/>
      <c r="CJ112" s="36"/>
      <c r="CK112" s="36"/>
      <c r="CL112" s="36"/>
      <c r="CM112" s="37"/>
      <c r="CN112" s="36"/>
      <c r="CO112" s="36"/>
      <c r="CP112" s="36"/>
      <c r="CQ112" s="36"/>
      <c r="CR112" s="36">
        <v>3</v>
      </c>
      <c r="CS112" s="105" t="s">
        <v>93</v>
      </c>
      <c r="CT112" s="105"/>
      <c r="CU112" s="105"/>
      <c r="CV112" s="105"/>
      <c r="CW112" s="105"/>
      <c r="CX112" s="36">
        <f t="array" ref="CX112">IF($J$2="aktiv",SUM(((Besitzer=NameSpieler1)*(((AnzahlHäuser&lt;=4)*AnzahlHäuser)*100))+((Besitzer=NameSpieler1)*(((AnzahlHäuser=5)*500)))),SUM(((Besitzer=NameSpieler2)*(((AnzahlHäuser&lt;=4)*AnzahlHäuser)*100))+((Besitzer=NameSpieler2)*(((AnzahlHäuser=5)*500)))))</f>
        <v>0</v>
      </c>
      <c r="CY112" s="36"/>
      <c r="CZ112" s="36"/>
      <c r="DA112" s="36"/>
      <c r="DB112" s="36"/>
      <c r="DC112" s="36"/>
      <c r="DD112" s="36"/>
      <c r="DE112" s="36"/>
      <c r="DF112" s="36"/>
      <c r="DG112" s="36"/>
      <c r="DH112" s="36"/>
      <c r="DI112" s="36"/>
      <c r="DJ112" s="36"/>
      <c r="DK112" s="36"/>
      <c r="DL112" s="36"/>
      <c r="DM112" s="36"/>
      <c r="DN112" s="36"/>
      <c r="DO112" s="36"/>
      <c r="DP112" s="36"/>
      <c r="DQ112" s="36"/>
      <c r="DR112" s="36"/>
      <c r="DS112" s="36"/>
      <c r="DT112" s="36"/>
      <c r="DU112" s="36"/>
      <c r="DV112" s="36"/>
      <c r="DW112" s="36"/>
      <c r="DX112" s="36"/>
      <c r="DY112" s="36"/>
    </row>
    <row r="113" spans="84:129" ht="12" hidden="1" customHeight="1" x14ac:dyDescent="0.2">
      <c r="CF113" s="36"/>
      <c r="CG113" s="36"/>
      <c r="CH113" s="36"/>
      <c r="CI113" s="36"/>
      <c r="CJ113" s="36"/>
      <c r="CK113" s="36"/>
      <c r="CL113" s="36"/>
      <c r="CM113" s="37"/>
      <c r="CN113" s="36"/>
      <c r="CO113" s="36"/>
      <c r="CP113" s="36"/>
      <c r="CQ113" s="36"/>
      <c r="CR113" s="36">
        <v>4</v>
      </c>
      <c r="CS113" s="105" t="s">
        <v>98</v>
      </c>
      <c r="CT113" s="105"/>
      <c r="CU113" s="105"/>
      <c r="CV113" s="105"/>
      <c r="CW113" s="105"/>
      <c r="CX113" s="36">
        <v>400</v>
      </c>
      <c r="CY113" s="36"/>
      <c r="CZ113" s="36"/>
      <c r="DA113" s="36"/>
      <c r="DB113" s="36"/>
      <c r="DC113" s="36"/>
      <c r="DD113" s="36"/>
      <c r="DE113" s="36"/>
      <c r="DF113" s="36"/>
      <c r="DG113" s="36"/>
      <c r="DH113" s="36"/>
      <c r="DI113" s="36"/>
      <c r="DJ113" s="36"/>
      <c r="DK113" s="36"/>
      <c r="DL113" s="36"/>
      <c r="DM113" s="36"/>
      <c r="DN113" s="36"/>
      <c r="DO113" s="36"/>
      <c r="DP113" s="36"/>
      <c r="DQ113" s="36"/>
      <c r="DR113" s="36"/>
      <c r="DS113" s="36"/>
      <c r="DT113" s="36"/>
      <c r="DU113" s="36"/>
      <c r="DV113" s="36"/>
      <c r="DW113" s="36"/>
      <c r="DX113" s="36"/>
      <c r="DY113" s="36"/>
    </row>
    <row r="114" spans="84:129" ht="12" hidden="1" customHeight="1" x14ac:dyDescent="0.2">
      <c r="CF114" s="36"/>
      <c r="CG114" s="36"/>
      <c r="CH114" s="36"/>
      <c r="CI114" s="36"/>
      <c r="CJ114" s="36"/>
      <c r="CK114" s="36"/>
      <c r="CL114" s="36"/>
      <c r="CM114" s="37"/>
      <c r="CN114" s="36"/>
      <c r="CO114" s="36"/>
      <c r="CP114" s="36"/>
      <c r="CQ114" s="36"/>
      <c r="CR114" s="36">
        <v>5</v>
      </c>
      <c r="CS114" s="105" t="s">
        <v>91</v>
      </c>
      <c r="CT114" s="105"/>
      <c r="CU114" s="105"/>
      <c r="CV114" s="105"/>
      <c r="CW114" s="105"/>
      <c r="CX114" s="36">
        <v>1200</v>
      </c>
      <c r="CY114" s="36"/>
      <c r="CZ114" s="36"/>
      <c r="DA114" s="36"/>
      <c r="DB114" s="36"/>
      <c r="DC114" s="36"/>
      <c r="DD114" s="36"/>
      <c r="DE114" s="36"/>
      <c r="DF114" s="36"/>
      <c r="DG114" s="36"/>
      <c r="DH114" s="36"/>
      <c r="DI114" s="36"/>
      <c r="DJ114" s="36"/>
      <c r="DK114" s="36"/>
      <c r="DL114" s="36"/>
      <c r="DM114" s="36"/>
      <c r="DN114" s="36"/>
      <c r="DO114" s="36"/>
      <c r="DP114" s="36"/>
      <c r="DQ114" s="36"/>
      <c r="DR114" s="36"/>
      <c r="DS114" s="36"/>
      <c r="DT114" s="36"/>
      <c r="DU114" s="36"/>
      <c r="DV114" s="36"/>
      <c r="DW114" s="36"/>
      <c r="DX114" s="36"/>
      <c r="DY114" s="36"/>
    </row>
    <row r="115" spans="84:129" ht="12" hidden="1" customHeight="1" x14ac:dyDescent="0.2">
      <c r="CF115" s="36"/>
      <c r="CG115" s="36"/>
      <c r="CH115" s="36"/>
      <c r="CI115" s="36"/>
      <c r="CJ115" s="36"/>
      <c r="CK115" s="36"/>
      <c r="CL115" s="36"/>
      <c r="CM115" s="37"/>
      <c r="CN115" s="36"/>
      <c r="CO115" s="36"/>
      <c r="CP115" s="36"/>
      <c r="CQ115" s="36"/>
      <c r="CR115" s="36"/>
      <c r="CS115" s="104"/>
      <c r="CT115" s="104"/>
      <c r="CU115" s="104"/>
      <c r="CV115" s="104"/>
      <c r="CW115" s="104"/>
      <c r="CX115" s="36"/>
      <c r="CY115" s="36"/>
      <c r="CZ115" s="36"/>
      <c r="DA115" s="36"/>
      <c r="DB115" s="36"/>
      <c r="DC115" s="36"/>
      <c r="DD115" s="36"/>
      <c r="DE115" s="36"/>
      <c r="DF115" s="36"/>
      <c r="DG115" s="36"/>
      <c r="DH115" s="36"/>
      <c r="DI115" s="36"/>
      <c r="DJ115" s="36"/>
      <c r="DK115" s="36"/>
      <c r="DL115" s="36"/>
      <c r="DM115" s="36"/>
      <c r="DN115" s="36"/>
      <c r="DO115" s="36"/>
      <c r="DP115" s="36"/>
      <c r="DQ115" s="36"/>
      <c r="DR115" s="36"/>
      <c r="DS115" s="36"/>
      <c r="DT115" s="36"/>
      <c r="DU115" s="36"/>
      <c r="DV115" s="36"/>
      <c r="DW115" s="36"/>
      <c r="DX115" s="36"/>
      <c r="DY115" s="36"/>
    </row>
    <row r="116" spans="84:129" ht="12" hidden="1" customHeight="1" x14ac:dyDescent="0.2">
      <c r="CF116" s="36"/>
      <c r="CG116" s="36"/>
      <c r="CH116" s="36"/>
      <c r="CI116" s="36"/>
      <c r="CJ116" s="36"/>
      <c r="CK116" s="36"/>
      <c r="CL116" s="36"/>
      <c r="CM116" s="37"/>
      <c r="CN116" s="36"/>
      <c r="CO116" s="36"/>
      <c r="CP116" s="36"/>
      <c r="CQ116" s="36"/>
      <c r="CR116" s="36" t="s">
        <v>73</v>
      </c>
      <c r="CS116" s="36"/>
      <c r="CT116" s="36"/>
      <c r="CU116" s="36"/>
      <c r="CV116" s="36"/>
      <c r="CW116" s="36"/>
      <c r="CX116" s="36"/>
      <c r="CY116" s="36"/>
      <c r="CZ116" s="36"/>
      <c r="DA116" s="36"/>
      <c r="DB116" s="36"/>
      <c r="DC116" s="36"/>
      <c r="DD116" s="36"/>
      <c r="DE116" s="36"/>
      <c r="DF116" s="36"/>
      <c r="DG116" s="36"/>
      <c r="DH116" s="36"/>
      <c r="DI116" s="36"/>
      <c r="DJ116" s="36"/>
      <c r="DK116" s="36"/>
      <c r="DL116" s="36"/>
      <c r="DM116" s="36"/>
      <c r="DN116" s="36"/>
      <c r="DO116" s="36"/>
      <c r="DP116" s="36"/>
      <c r="DQ116" s="36"/>
      <c r="DR116" s="36"/>
      <c r="DS116" s="36"/>
      <c r="DT116" s="36"/>
      <c r="DU116" s="36"/>
      <c r="DV116" s="36"/>
      <c r="DW116" s="36"/>
      <c r="DX116" s="36"/>
      <c r="DY116" s="36"/>
    </row>
    <row r="117" spans="84:129" ht="12" hidden="1" customHeight="1" x14ac:dyDescent="0.2">
      <c r="CF117" s="36"/>
      <c r="CG117" s="36"/>
      <c r="CH117" s="36"/>
      <c r="CI117" s="36"/>
      <c r="CJ117" s="36"/>
      <c r="CK117" s="36"/>
      <c r="CL117" s="36"/>
      <c r="CM117" s="37"/>
      <c r="CN117" s="86"/>
      <c r="CO117" s="86"/>
      <c r="CP117" s="86"/>
      <c r="CQ117" s="36"/>
      <c r="CR117" s="36">
        <v>1</v>
      </c>
      <c r="CS117" s="105" t="s">
        <v>94</v>
      </c>
      <c r="CT117" s="105"/>
      <c r="CU117" s="105"/>
      <c r="CV117" s="105"/>
      <c r="CW117" s="105"/>
      <c r="CX117" s="36">
        <v>250</v>
      </c>
      <c r="CY117" s="36"/>
      <c r="CZ117" s="36"/>
      <c r="DA117" s="36"/>
      <c r="DB117" s="36"/>
      <c r="DC117" s="36"/>
      <c r="DD117" s="36"/>
      <c r="DE117" s="36"/>
      <c r="DF117" s="36"/>
      <c r="DG117" s="36"/>
      <c r="DH117" s="36"/>
      <c r="DI117" s="36"/>
      <c r="DJ117" s="36"/>
      <c r="DK117" s="36"/>
      <c r="DL117" s="36"/>
      <c r="DM117" s="36"/>
      <c r="DN117" s="36"/>
      <c r="DO117" s="36"/>
      <c r="DP117" s="36"/>
      <c r="DQ117" s="36"/>
      <c r="DR117" s="36"/>
      <c r="DS117" s="36"/>
      <c r="DT117" s="36"/>
      <c r="DU117" s="36"/>
      <c r="DV117" s="36"/>
      <c r="DW117" s="36"/>
      <c r="DX117" s="36"/>
      <c r="DY117" s="36"/>
    </row>
    <row r="118" spans="84:129" ht="12" hidden="1" customHeight="1" x14ac:dyDescent="0.2">
      <c r="CF118" s="36"/>
      <c r="CG118" s="36"/>
      <c r="CH118" s="36"/>
      <c r="CI118" s="36"/>
      <c r="CJ118" s="36"/>
      <c r="CK118" s="36"/>
      <c r="CL118" s="36"/>
      <c r="CM118" s="37"/>
      <c r="CN118" s="86"/>
      <c r="CO118" s="86"/>
      <c r="CP118" s="86"/>
      <c r="CQ118" s="36"/>
      <c r="CR118" s="36">
        <v>2</v>
      </c>
      <c r="CS118" s="36" t="s">
        <v>92</v>
      </c>
      <c r="CT118" s="36"/>
      <c r="CU118" s="36"/>
      <c r="CV118" s="36"/>
      <c r="CW118" s="36"/>
      <c r="CX118" s="36">
        <v>3000</v>
      </c>
      <c r="CY118" s="36"/>
      <c r="CZ118" s="36"/>
      <c r="DA118" s="36"/>
      <c r="DB118" s="36"/>
      <c r="DC118" s="36"/>
      <c r="DD118" s="36"/>
      <c r="DE118" s="36"/>
      <c r="DF118" s="36"/>
      <c r="DG118" s="36"/>
      <c r="DH118" s="36"/>
      <c r="DI118" s="36"/>
      <c r="DJ118" s="36"/>
      <c r="DK118" s="36"/>
      <c r="DL118" s="36"/>
      <c r="DM118" s="36"/>
      <c r="DN118" s="36"/>
      <c r="DO118" s="36"/>
      <c r="DP118" s="36"/>
      <c r="DQ118" s="36"/>
      <c r="DR118" s="36"/>
      <c r="DS118" s="36"/>
      <c r="DT118" s="36"/>
      <c r="DU118" s="36"/>
      <c r="DV118" s="36"/>
      <c r="DW118" s="36"/>
      <c r="DX118" s="36"/>
      <c r="DY118" s="36"/>
    </row>
    <row r="119" spans="84:129" ht="12" hidden="1" customHeight="1" x14ac:dyDescent="0.2">
      <c r="CF119" s="36"/>
      <c r="CG119" s="36"/>
      <c r="CH119" s="36"/>
      <c r="CI119" s="36"/>
      <c r="CJ119" s="36"/>
      <c r="CK119" s="36"/>
      <c r="CL119" s="36"/>
      <c r="CM119" s="37"/>
      <c r="CN119" s="36"/>
      <c r="CO119" s="36"/>
      <c r="CP119" s="36"/>
      <c r="CQ119" s="36"/>
      <c r="CR119" s="36">
        <v>3</v>
      </c>
      <c r="CS119" s="105" t="s">
        <v>95</v>
      </c>
      <c r="CT119" s="105"/>
      <c r="CU119" s="105"/>
      <c r="CV119" s="105"/>
      <c r="CW119" s="105"/>
      <c r="CX119" s="36">
        <v>650</v>
      </c>
      <c r="CY119" s="36"/>
      <c r="CZ119" s="36"/>
      <c r="DA119" s="36"/>
      <c r="DB119" s="36"/>
      <c r="DC119" s="36"/>
      <c r="DD119" s="36"/>
      <c r="DE119" s="36"/>
      <c r="DF119" s="36"/>
      <c r="DG119" s="36"/>
      <c r="DH119" s="36"/>
      <c r="DI119" s="36"/>
      <c r="DJ119" s="36"/>
      <c r="DK119" s="36"/>
      <c r="DL119" s="36"/>
      <c r="DM119" s="36"/>
      <c r="DN119" s="36"/>
      <c r="DO119" s="36"/>
      <c r="DP119" s="36"/>
      <c r="DQ119" s="36"/>
      <c r="DR119" s="36"/>
      <c r="DS119" s="36"/>
      <c r="DT119" s="36"/>
      <c r="DU119" s="36"/>
      <c r="DV119" s="36"/>
      <c r="DW119" s="36"/>
      <c r="DX119" s="36"/>
      <c r="DY119" s="36"/>
    </row>
    <row r="120" spans="84:129" ht="12" hidden="1" customHeight="1" x14ac:dyDescent="0.2">
      <c r="CF120" s="36"/>
      <c r="CG120" s="36"/>
      <c r="CH120" s="36"/>
      <c r="CI120" s="36"/>
      <c r="CJ120" s="36"/>
      <c r="CK120" s="36"/>
      <c r="CL120" s="36"/>
      <c r="CM120" s="37"/>
      <c r="CN120" s="36"/>
      <c r="CO120" s="36"/>
      <c r="CP120" s="36"/>
      <c r="CQ120" s="36"/>
      <c r="CR120" s="36">
        <v>4</v>
      </c>
      <c r="CS120" s="105" t="s">
        <v>97</v>
      </c>
      <c r="CT120" s="105"/>
      <c r="CU120" s="105"/>
      <c r="CV120" s="105"/>
      <c r="CW120" s="105"/>
      <c r="CX120" s="36">
        <v>500</v>
      </c>
      <c r="CY120" s="36"/>
      <c r="CZ120" s="36"/>
      <c r="DA120" s="36"/>
      <c r="DB120" s="36"/>
      <c r="DC120" s="36"/>
      <c r="DD120" s="36"/>
      <c r="DE120" s="36"/>
      <c r="DF120" s="36"/>
      <c r="DG120" s="36"/>
      <c r="DH120" s="36"/>
      <c r="DI120" s="36"/>
      <c r="DJ120" s="36"/>
      <c r="DK120" s="36"/>
      <c r="DL120" s="36"/>
      <c r="DM120" s="36"/>
      <c r="DN120" s="36"/>
      <c r="DO120" s="36"/>
      <c r="DP120" s="36"/>
      <c r="DQ120" s="36"/>
      <c r="DR120" s="36"/>
      <c r="DS120" s="36"/>
      <c r="DT120" s="36"/>
      <c r="DU120" s="36"/>
      <c r="DV120" s="36"/>
      <c r="DW120" s="36"/>
      <c r="DX120" s="36"/>
      <c r="DY120" s="36"/>
    </row>
    <row r="121" spans="84:129" ht="12" hidden="1" customHeight="1" x14ac:dyDescent="0.2">
      <c r="CF121" s="36"/>
      <c r="CG121" s="36"/>
      <c r="CH121" s="36"/>
      <c r="CI121" s="36"/>
      <c r="CJ121" s="36"/>
      <c r="CK121" s="36"/>
      <c r="CL121" s="36"/>
      <c r="CM121" s="37"/>
      <c r="CN121" s="36"/>
      <c r="CO121" s="36"/>
      <c r="CP121" s="36"/>
      <c r="CQ121" s="36"/>
      <c r="CR121" s="36">
        <v>5</v>
      </c>
      <c r="CS121" s="105" t="s">
        <v>96</v>
      </c>
      <c r="CT121" s="105"/>
      <c r="CU121" s="105"/>
      <c r="CV121" s="105"/>
      <c r="CW121" s="105"/>
      <c r="CX121" s="36">
        <v>1000</v>
      </c>
      <c r="CY121" s="36"/>
      <c r="CZ121" s="36"/>
      <c r="DA121" s="36"/>
      <c r="DB121" s="36"/>
      <c r="DC121" s="36"/>
      <c r="DD121" s="36"/>
      <c r="DE121" s="36"/>
      <c r="DF121" s="36"/>
      <c r="DG121" s="36"/>
      <c r="DH121" s="36"/>
      <c r="DI121" s="36"/>
      <c r="DJ121" s="36"/>
      <c r="DK121" s="36"/>
      <c r="DL121" s="36"/>
      <c r="DM121" s="36"/>
      <c r="DN121" s="36"/>
      <c r="DO121" s="36"/>
      <c r="DP121" s="36"/>
      <c r="DQ121" s="36"/>
      <c r="DR121" s="36"/>
      <c r="DS121" s="36"/>
      <c r="DT121" s="36"/>
      <c r="DU121" s="36"/>
      <c r="DV121" s="36"/>
      <c r="DW121" s="36"/>
      <c r="DX121" s="36"/>
      <c r="DY121" s="36"/>
    </row>
    <row r="122" spans="84:129" ht="12" hidden="1" customHeight="1" x14ac:dyDescent="0.2">
      <c r="CF122" s="36"/>
      <c r="CG122" s="36"/>
      <c r="CH122" s="36"/>
      <c r="CI122" s="36"/>
      <c r="CJ122" s="36"/>
      <c r="CK122" s="36"/>
      <c r="CL122" s="36"/>
      <c r="CM122" s="37"/>
      <c r="CN122" s="36"/>
      <c r="CO122" s="36"/>
      <c r="CP122" s="36"/>
      <c r="CQ122" s="36"/>
      <c r="CR122" s="36"/>
      <c r="CS122" s="104"/>
      <c r="CT122" s="104"/>
      <c r="CU122" s="104"/>
      <c r="CV122" s="104"/>
      <c r="CW122" s="104"/>
      <c r="CX122" s="36"/>
      <c r="CY122" s="36"/>
      <c r="CZ122" s="36"/>
      <c r="DA122" s="36"/>
      <c r="DB122" s="36"/>
      <c r="DC122" s="36"/>
      <c r="DD122" s="36"/>
      <c r="DE122" s="36"/>
      <c r="DF122" s="36"/>
      <c r="DG122" s="36"/>
      <c r="DH122" s="36"/>
      <c r="DI122" s="36"/>
      <c r="DJ122" s="36"/>
      <c r="DK122" s="36"/>
      <c r="DL122" s="36"/>
      <c r="DM122" s="36"/>
      <c r="DN122" s="36"/>
      <c r="DO122" s="36"/>
      <c r="DP122" s="36"/>
      <c r="DQ122" s="36"/>
      <c r="DR122" s="36"/>
      <c r="DS122" s="36"/>
      <c r="DT122" s="36"/>
      <c r="DU122" s="36"/>
      <c r="DV122" s="36"/>
      <c r="DW122" s="36"/>
      <c r="DX122" s="36"/>
      <c r="DY122" s="36"/>
    </row>
    <row r="123" spans="84:129" ht="11.25" customHeight="1" x14ac:dyDescent="0.2">
      <c r="CF123" s="36"/>
      <c r="CG123" s="36"/>
      <c r="CH123" s="36"/>
      <c r="CI123" s="36"/>
      <c r="CJ123" s="36"/>
      <c r="CK123" s="36"/>
      <c r="CL123" s="36"/>
      <c r="CM123" s="37"/>
      <c r="CN123" s="36"/>
      <c r="CO123" s="36"/>
      <c r="CP123" s="36"/>
      <c r="CQ123" s="36"/>
      <c r="CR123" s="36"/>
      <c r="CS123" s="36"/>
      <c r="CT123" s="36"/>
      <c r="CU123" s="36"/>
      <c r="CV123" s="36"/>
      <c r="CW123" s="36"/>
      <c r="CX123" s="36"/>
      <c r="CY123" s="36"/>
      <c r="CZ123" s="36"/>
      <c r="DA123" s="36"/>
      <c r="DB123" s="36"/>
      <c r="DC123" s="36"/>
      <c r="DD123" s="36"/>
      <c r="DE123" s="36"/>
      <c r="DF123" s="36"/>
      <c r="DG123" s="36"/>
      <c r="DH123" s="36"/>
      <c r="DI123" s="36"/>
      <c r="DJ123" s="36"/>
      <c r="DK123" s="36"/>
      <c r="DL123" s="36"/>
      <c r="DM123" s="36"/>
      <c r="DN123" s="36"/>
      <c r="DO123" s="36"/>
      <c r="DP123" s="36"/>
      <c r="DQ123" s="36"/>
      <c r="DR123" s="36"/>
      <c r="DS123" s="36"/>
      <c r="DT123" s="36"/>
      <c r="DU123" s="36"/>
      <c r="DV123" s="36"/>
      <c r="DW123" s="36"/>
      <c r="DX123" s="36"/>
      <c r="DY123" s="36"/>
    </row>
    <row r="124" spans="84:129" ht="11.25" customHeight="1" x14ac:dyDescent="0.2">
      <c r="CF124" s="36"/>
      <c r="CG124" s="36"/>
      <c r="CH124" s="36"/>
      <c r="CI124" s="36"/>
      <c r="CJ124" s="36"/>
      <c r="CK124" s="36"/>
      <c r="CL124" s="36"/>
      <c r="CM124" s="37"/>
      <c r="CN124" s="36"/>
      <c r="CO124" s="36"/>
      <c r="CP124" s="36"/>
      <c r="CQ124" s="36"/>
      <c r="CR124" s="36"/>
      <c r="CS124" s="36"/>
      <c r="CT124" s="36"/>
      <c r="CU124" s="36"/>
      <c r="CV124" s="36"/>
      <c r="CW124" s="36"/>
      <c r="CX124" s="36"/>
      <c r="CY124" s="36"/>
      <c r="CZ124" s="36"/>
      <c r="DA124" s="36"/>
      <c r="DB124" s="36"/>
      <c r="DC124" s="36"/>
      <c r="DD124" s="36"/>
      <c r="DE124" s="36"/>
      <c r="DF124" s="36"/>
      <c r="DG124" s="36"/>
      <c r="DH124" s="36"/>
      <c r="DI124" s="36"/>
      <c r="DJ124" s="36"/>
      <c r="DK124" s="36"/>
      <c r="DL124" s="36"/>
      <c r="DM124" s="36"/>
      <c r="DN124" s="36"/>
      <c r="DO124" s="36"/>
      <c r="DP124" s="36"/>
      <c r="DQ124" s="36"/>
      <c r="DR124" s="36"/>
      <c r="DS124" s="36"/>
      <c r="DT124" s="36"/>
      <c r="DU124" s="36"/>
      <c r="DV124" s="36"/>
      <c r="DW124" s="36"/>
      <c r="DX124" s="36"/>
      <c r="DY124" s="36"/>
    </row>
    <row r="125" spans="84:129" ht="11.25" customHeight="1" x14ac:dyDescent="0.2">
      <c r="CF125" s="36"/>
      <c r="CG125" s="36"/>
      <c r="CH125" s="36"/>
      <c r="CI125" s="36"/>
      <c r="CJ125" s="36"/>
      <c r="CK125" s="36"/>
      <c r="CL125" s="36"/>
      <c r="CM125" s="37"/>
      <c r="CN125" s="36"/>
      <c r="CO125" s="36"/>
      <c r="CP125" s="36"/>
      <c r="CQ125" s="36"/>
      <c r="CR125" s="36"/>
      <c r="CS125" s="36"/>
      <c r="CT125" s="36"/>
      <c r="CU125" s="36"/>
      <c r="CV125" s="36"/>
      <c r="CW125" s="36"/>
      <c r="CX125" s="36"/>
      <c r="CY125" s="36"/>
      <c r="CZ125" s="36"/>
      <c r="DA125" s="36"/>
      <c r="DB125" s="36"/>
      <c r="DC125" s="36"/>
      <c r="DD125" s="36"/>
      <c r="DE125" s="36"/>
      <c r="DF125" s="36"/>
      <c r="DG125" s="36"/>
      <c r="DH125" s="36"/>
      <c r="DI125" s="36"/>
      <c r="DJ125" s="36"/>
      <c r="DK125" s="36"/>
      <c r="DL125" s="36"/>
      <c r="DM125" s="36"/>
      <c r="DN125" s="36"/>
      <c r="DO125" s="36"/>
      <c r="DP125" s="36"/>
      <c r="DQ125" s="36"/>
      <c r="DR125" s="36"/>
      <c r="DS125" s="36"/>
      <c r="DT125" s="36"/>
      <c r="DU125" s="36"/>
      <c r="DV125" s="36"/>
      <c r="DW125" s="36"/>
      <c r="DX125" s="36"/>
      <c r="DY125" s="36"/>
    </row>
    <row r="126" spans="84:129" ht="11.25" customHeight="1" x14ac:dyDescent="0.2">
      <c r="CF126" s="36"/>
      <c r="CG126" s="36"/>
      <c r="CH126" s="36"/>
      <c r="CI126" s="36"/>
      <c r="CJ126" s="36"/>
      <c r="CK126" s="36"/>
      <c r="CL126" s="36"/>
      <c r="CM126" s="37"/>
      <c r="CN126" s="36"/>
      <c r="CO126" s="36"/>
      <c r="CP126" s="36"/>
      <c r="CQ126" s="36"/>
      <c r="CR126" s="36"/>
      <c r="CS126" s="104"/>
      <c r="CT126" s="104"/>
      <c r="CU126" s="104"/>
      <c r="CV126" s="104"/>
      <c r="CW126" s="104"/>
      <c r="CX126" s="36"/>
      <c r="CY126" s="36"/>
      <c r="CZ126" s="36"/>
      <c r="DA126" s="36"/>
      <c r="DB126" s="36"/>
      <c r="DC126" s="36"/>
      <c r="DD126" s="36"/>
      <c r="DE126" s="36"/>
      <c r="DF126" s="36"/>
      <c r="DG126" s="36"/>
      <c r="DH126" s="36"/>
      <c r="DI126" s="36"/>
      <c r="DJ126" s="36"/>
      <c r="DK126" s="36"/>
      <c r="DL126" s="36"/>
      <c r="DM126" s="36"/>
      <c r="DN126" s="36"/>
      <c r="DO126" s="36"/>
      <c r="DP126" s="36"/>
      <c r="DQ126" s="36"/>
      <c r="DR126" s="36"/>
      <c r="DS126" s="36"/>
      <c r="DT126" s="36"/>
      <c r="DU126" s="36"/>
      <c r="DV126" s="36"/>
      <c r="DW126" s="36"/>
      <c r="DX126" s="36"/>
      <c r="DY126" s="36"/>
    </row>
    <row r="127" spans="84:129" ht="9" customHeight="1" x14ac:dyDescent="0.2">
      <c r="CF127" s="36"/>
      <c r="CG127" s="36"/>
      <c r="CH127" s="36"/>
      <c r="CI127" s="36"/>
      <c r="CJ127" s="36"/>
      <c r="CK127" s="36"/>
      <c r="CL127" s="36"/>
      <c r="CM127" s="37"/>
      <c r="CN127" s="36"/>
      <c r="CO127" s="36"/>
      <c r="CP127" s="36"/>
      <c r="CQ127" s="36"/>
      <c r="CR127" s="36"/>
      <c r="CS127" s="36"/>
      <c r="CT127" s="36"/>
      <c r="CU127" s="36"/>
      <c r="CV127" s="36"/>
      <c r="CW127" s="36"/>
      <c r="CX127" s="36"/>
      <c r="CY127" s="36"/>
      <c r="CZ127" s="36"/>
      <c r="DA127" s="36"/>
      <c r="DB127" s="36"/>
      <c r="DC127" s="36"/>
      <c r="DD127" s="36"/>
      <c r="DE127" s="36"/>
      <c r="DF127" s="36"/>
      <c r="DG127" s="36"/>
      <c r="DH127" s="36"/>
      <c r="DI127" s="36"/>
      <c r="DJ127" s="36"/>
      <c r="DK127" s="36"/>
      <c r="DL127" s="36"/>
      <c r="DM127" s="36"/>
      <c r="DN127" s="36"/>
      <c r="DO127" s="36"/>
      <c r="DP127" s="36"/>
      <c r="DQ127" s="36"/>
      <c r="DR127" s="36"/>
      <c r="DS127" s="36"/>
      <c r="DT127" s="36"/>
      <c r="DU127" s="36"/>
      <c r="DV127" s="36"/>
      <c r="DW127" s="36"/>
      <c r="DX127" s="36"/>
      <c r="DY127" s="36"/>
    </row>
    <row r="128" spans="84:129" ht="9" customHeight="1" x14ac:dyDescent="0.2">
      <c r="CF128" s="36"/>
      <c r="CG128" s="36"/>
      <c r="CH128" s="36"/>
      <c r="CI128" s="36"/>
      <c r="CJ128" s="36"/>
      <c r="CK128" s="36"/>
      <c r="CL128" s="36"/>
      <c r="CM128" s="37"/>
      <c r="CN128" s="36"/>
      <c r="CO128" s="36"/>
      <c r="CP128" s="36"/>
      <c r="CQ128" s="36"/>
      <c r="CR128" s="36"/>
      <c r="CS128" s="36"/>
      <c r="CT128" s="36"/>
      <c r="CU128" s="36"/>
      <c r="CV128" s="36"/>
      <c r="CW128" s="36"/>
      <c r="CX128" s="36"/>
      <c r="CY128" s="36"/>
      <c r="CZ128" s="36"/>
      <c r="DA128" s="36"/>
      <c r="DB128" s="36"/>
      <c r="DC128" s="36"/>
      <c r="DD128" s="36"/>
      <c r="DE128" s="36"/>
      <c r="DF128" s="36"/>
      <c r="DG128" s="36"/>
      <c r="DH128" s="36"/>
      <c r="DI128" s="36"/>
      <c r="DJ128" s="36"/>
      <c r="DK128" s="36"/>
      <c r="DL128" s="36"/>
      <c r="DM128" s="36"/>
      <c r="DN128" s="36"/>
      <c r="DO128" s="36"/>
      <c r="DP128" s="36"/>
      <c r="DQ128" s="36"/>
      <c r="DR128" s="36"/>
      <c r="DS128" s="36"/>
      <c r="DT128" s="36"/>
      <c r="DU128" s="36"/>
      <c r="DV128" s="36"/>
      <c r="DW128" s="36"/>
      <c r="DX128" s="36"/>
      <c r="DY128" s="36"/>
    </row>
    <row r="129" spans="84:129" ht="9" customHeight="1" x14ac:dyDescent="0.2">
      <c r="CF129" s="36"/>
      <c r="CG129" s="36"/>
      <c r="CH129" s="36"/>
      <c r="CI129" s="36"/>
      <c r="CJ129" s="36"/>
      <c r="CK129" s="36"/>
      <c r="CL129" s="36"/>
      <c r="CM129" s="37"/>
      <c r="CN129" s="36"/>
      <c r="CO129" s="36"/>
      <c r="CP129" s="36"/>
      <c r="CQ129" s="36"/>
      <c r="CR129" s="36"/>
      <c r="CS129" s="36"/>
      <c r="CT129" s="36"/>
      <c r="CU129" s="36"/>
      <c r="CV129" s="36"/>
      <c r="CW129" s="36"/>
      <c r="CX129" s="36"/>
      <c r="CY129" s="36"/>
      <c r="CZ129" s="36"/>
      <c r="DA129" s="36"/>
      <c r="DB129" s="36"/>
      <c r="DC129" s="36"/>
      <c r="DD129" s="36"/>
      <c r="DE129" s="36"/>
      <c r="DF129" s="36"/>
      <c r="DG129" s="36"/>
      <c r="DH129" s="36"/>
      <c r="DI129" s="36"/>
      <c r="DJ129" s="36"/>
      <c r="DK129" s="36"/>
      <c r="DL129" s="36"/>
      <c r="DM129" s="36"/>
      <c r="DN129" s="36"/>
      <c r="DO129" s="36"/>
      <c r="DP129" s="36"/>
      <c r="DQ129" s="36"/>
      <c r="DR129" s="36"/>
      <c r="DS129" s="36"/>
      <c r="DT129" s="36"/>
      <c r="DU129" s="36"/>
      <c r="DV129" s="36"/>
      <c r="DW129" s="36"/>
      <c r="DX129" s="36"/>
      <c r="DY129" s="36"/>
    </row>
    <row r="130" spans="84:129" ht="9" customHeight="1" x14ac:dyDescent="0.2">
      <c r="CF130" s="36"/>
      <c r="CG130" s="36"/>
      <c r="CH130" s="36"/>
      <c r="CI130" s="36"/>
      <c r="CJ130" s="36"/>
      <c r="CK130" s="36"/>
      <c r="CL130" s="36"/>
      <c r="CM130" s="37"/>
      <c r="CN130" s="36"/>
      <c r="CO130" s="36"/>
      <c r="CP130" s="36"/>
      <c r="CQ130" s="36"/>
      <c r="CR130" s="36"/>
      <c r="CS130" s="36"/>
      <c r="CT130" s="36"/>
      <c r="CU130" s="87"/>
      <c r="CV130" s="36"/>
      <c r="CW130" s="36"/>
      <c r="CX130" s="36"/>
      <c r="CY130" s="36"/>
      <c r="CZ130" s="36"/>
      <c r="DA130" s="36"/>
      <c r="DB130" s="36"/>
      <c r="DC130" s="36"/>
      <c r="DD130" s="36"/>
      <c r="DE130" s="36"/>
      <c r="DF130" s="36"/>
      <c r="DG130" s="36"/>
      <c r="DH130" s="36"/>
      <c r="DI130" s="36"/>
      <c r="DJ130" s="36"/>
      <c r="DK130" s="36"/>
      <c r="DL130" s="36"/>
      <c r="DM130" s="36"/>
      <c r="DN130" s="36"/>
      <c r="DO130" s="36"/>
      <c r="DP130" s="36"/>
      <c r="DQ130" s="36"/>
      <c r="DR130" s="36"/>
      <c r="DS130" s="36"/>
      <c r="DT130" s="36"/>
      <c r="DU130" s="36"/>
      <c r="DV130" s="36"/>
      <c r="DW130" s="36"/>
      <c r="DX130" s="36"/>
      <c r="DY130" s="36"/>
    </row>
    <row r="131" spans="84:129" ht="9" customHeight="1" x14ac:dyDescent="0.2">
      <c r="CF131" s="36"/>
      <c r="CG131" s="36"/>
      <c r="CH131" s="36"/>
      <c r="CI131" s="36"/>
      <c r="CJ131" s="36"/>
      <c r="CK131" s="36"/>
      <c r="CL131" s="36"/>
      <c r="CM131" s="37"/>
      <c r="CN131" s="36"/>
      <c r="CO131" s="36"/>
      <c r="CP131" s="36"/>
      <c r="CQ131" s="36"/>
      <c r="CR131" s="36"/>
      <c r="CS131" s="36"/>
      <c r="CT131" s="36"/>
      <c r="CU131" s="87"/>
      <c r="CV131" s="36"/>
      <c r="CW131" s="36"/>
      <c r="CX131" s="36"/>
      <c r="CY131" s="36"/>
      <c r="CZ131" s="36"/>
      <c r="DA131" s="36"/>
      <c r="DB131" s="36"/>
      <c r="DC131" s="36"/>
      <c r="DD131" s="36"/>
      <c r="DE131" s="36"/>
      <c r="DF131" s="36"/>
      <c r="DG131" s="36"/>
      <c r="DH131" s="36"/>
      <c r="DI131" s="36"/>
      <c r="DJ131" s="36"/>
      <c r="DK131" s="36"/>
      <c r="DL131" s="36"/>
      <c r="DM131" s="36"/>
      <c r="DN131" s="36"/>
      <c r="DO131" s="36"/>
      <c r="DP131" s="36"/>
      <c r="DQ131" s="36"/>
      <c r="DR131" s="36"/>
      <c r="DS131" s="36"/>
      <c r="DT131" s="36"/>
      <c r="DU131" s="36"/>
      <c r="DV131" s="36"/>
      <c r="DW131" s="36"/>
      <c r="DX131" s="36"/>
      <c r="DY131" s="36"/>
    </row>
    <row r="132" spans="84:129" ht="9" customHeight="1" x14ac:dyDescent="0.2">
      <c r="CF132" s="36"/>
      <c r="CG132" s="36"/>
      <c r="CH132" s="36"/>
      <c r="CI132" s="36"/>
      <c r="CJ132" s="36"/>
      <c r="CK132" s="36"/>
      <c r="CL132" s="36"/>
      <c r="CM132" s="37"/>
      <c r="CN132" s="36"/>
      <c r="CO132" s="36"/>
      <c r="CP132" s="36"/>
      <c r="CQ132" s="36"/>
      <c r="CR132" s="36"/>
      <c r="CS132" s="36"/>
      <c r="CT132" s="36"/>
      <c r="CU132" s="36"/>
      <c r="CV132" s="36"/>
      <c r="CW132" s="36"/>
      <c r="CX132" s="36"/>
      <c r="CY132" s="36"/>
      <c r="CZ132" s="36"/>
      <c r="DA132" s="36"/>
      <c r="DB132" s="36"/>
      <c r="DC132" s="36"/>
      <c r="DD132" s="36"/>
      <c r="DE132" s="36"/>
      <c r="DF132" s="36"/>
      <c r="DG132" s="36"/>
      <c r="DH132" s="36"/>
      <c r="DI132" s="36"/>
      <c r="DJ132" s="36"/>
      <c r="DK132" s="36"/>
      <c r="DL132" s="36"/>
      <c r="DM132" s="36"/>
      <c r="DN132" s="36"/>
      <c r="DO132" s="36"/>
      <c r="DP132" s="36"/>
      <c r="DQ132" s="36"/>
      <c r="DR132" s="36"/>
      <c r="DS132" s="36"/>
      <c r="DT132" s="36"/>
      <c r="DU132" s="36"/>
      <c r="DV132" s="36"/>
      <c r="DW132" s="36"/>
      <c r="DX132" s="36"/>
      <c r="DY132" s="36"/>
    </row>
    <row r="133" spans="84:129" ht="9" customHeight="1" x14ac:dyDescent="0.2">
      <c r="CF133" s="36"/>
      <c r="CG133" s="36"/>
      <c r="CH133" s="36"/>
      <c r="CI133" s="36"/>
      <c r="CJ133" s="36"/>
      <c r="CK133" s="36"/>
      <c r="CL133" s="36"/>
      <c r="CM133" s="37"/>
      <c r="CN133" s="36"/>
      <c r="CO133" s="36"/>
      <c r="CP133" s="36"/>
      <c r="CQ133" s="36"/>
      <c r="CR133" s="36"/>
      <c r="CS133" s="36"/>
      <c r="CT133" s="36"/>
      <c r="CU133" s="36"/>
      <c r="CV133" s="36"/>
      <c r="CW133" s="36"/>
      <c r="CX133" s="36"/>
      <c r="CY133" s="36"/>
      <c r="CZ133" s="36"/>
      <c r="DA133" s="36"/>
      <c r="DB133" s="36"/>
      <c r="DC133" s="36"/>
      <c r="DD133" s="36"/>
      <c r="DE133" s="36"/>
      <c r="DF133" s="36"/>
      <c r="DG133" s="36"/>
      <c r="DH133" s="36"/>
      <c r="DI133" s="36"/>
      <c r="DJ133" s="36"/>
      <c r="DK133" s="36"/>
      <c r="DL133" s="36"/>
      <c r="DM133" s="36"/>
      <c r="DN133" s="36"/>
      <c r="DO133" s="36"/>
      <c r="DP133" s="36"/>
      <c r="DQ133" s="36"/>
      <c r="DR133" s="36"/>
      <c r="DS133" s="36"/>
      <c r="DT133" s="36"/>
      <c r="DU133" s="36"/>
      <c r="DV133" s="36"/>
      <c r="DW133" s="36"/>
      <c r="DX133" s="36"/>
      <c r="DY133" s="36"/>
    </row>
    <row r="134" spans="84:129" ht="9" customHeight="1" x14ac:dyDescent="0.2">
      <c r="CF134" s="36"/>
      <c r="CG134" s="36"/>
      <c r="CH134" s="36"/>
      <c r="CI134" s="36"/>
      <c r="CJ134" s="36"/>
      <c r="CK134" s="36"/>
      <c r="CL134" s="36"/>
      <c r="CM134" s="37"/>
      <c r="CN134" s="36"/>
      <c r="CO134" s="36"/>
      <c r="CP134" s="36"/>
      <c r="CQ134" s="36"/>
      <c r="CR134" s="36"/>
      <c r="CS134" s="36"/>
      <c r="CT134" s="36"/>
      <c r="CU134" s="36"/>
      <c r="CV134" s="36"/>
      <c r="CW134" s="36"/>
      <c r="CX134" s="36"/>
      <c r="CY134" s="36"/>
      <c r="CZ134" s="36"/>
      <c r="DA134" s="36"/>
      <c r="DB134" s="36"/>
      <c r="DC134" s="36"/>
      <c r="DD134" s="36"/>
      <c r="DE134" s="36"/>
      <c r="DF134" s="36"/>
      <c r="DG134" s="36"/>
      <c r="DH134" s="36"/>
      <c r="DI134" s="36"/>
      <c r="DJ134" s="36"/>
      <c r="DK134" s="36"/>
      <c r="DL134" s="36"/>
      <c r="DM134" s="36"/>
      <c r="DN134" s="36"/>
      <c r="DO134" s="36"/>
      <c r="DP134" s="36"/>
      <c r="DQ134" s="36"/>
      <c r="DR134" s="36"/>
      <c r="DS134" s="36"/>
      <c r="DT134" s="36"/>
      <c r="DU134" s="36"/>
      <c r="DV134" s="36"/>
      <c r="DW134" s="36"/>
      <c r="DX134" s="36"/>
      <c r="DY134" s="36"/>
    </row>
    <row r="135" spans="84:129" ht="9" customHeight="1" x14ac:dyDescent="0.2">
      <c r="CF135" s="36"/>
      <c r="CG135" s="36"/>
      <c r="CH135" s="36"/>
      <c r="CI135" s="36"/>
      <c r="CJ135" s="36"/>
      <c r="CK135" s="36"/>
      <c r="CL135" s="36"/>
      <c r="CM135" s="37"/>
      <c r="CN135" s="36"/>
      <c r="CO135" s="36"/>
      <c r="CP135" s="36"/>
      <c r="CQ135" s="36"/>
      <c r="CR135" s="36"/>
      <c r="CS135" s="36"/>
      <c r="CT135" s="36"/>
      <c r="CU135" s="36"/>
      <c r="CV135" s="36"/>
      <c r="CW135" s="36"/>
      <c r="CX135" s="36"/>
      <c r="CY135" s="36"/>
      <c r="CZ135" s="36"/>
      <c r="DA135" s="36"/>
      <c r="DB135" s="36"/>
      <c r="DC135" s="36"/>
      <c r="DD135" s="36"/>
      <c r="DE135" s="36"/>
      <c r="DF135" s="36"/>
      <c r="DG135" s="36"/>
      <c r="DH135" s="36"/>
      <c r="DI135" s="36"/>
      <c r="DJ135" s="36"/>
      <c r="DK135" s="36"/>
      <c r="DL135" s="36"/>
      <c r="DM135" s="36"/>
      <c r="DN135" s="36"/>
      <c r="DO135" s="36"/>
      <c r="DP135" s="36"/>
      <c r="DQ135" s="36"/>
      <c r="DR135" s="36"/>
      <c r="DS135" s="36"/>
      <c r="DT135" s="36"/>
      <c r="DU135" s="36"/>
      <c r="DV135" s="36"/>
      <c r="DW135" s="36"/>
      <c r="DX135" s="36"/>
      <c r="DY135" s="36"/>
    </row>
    <row r="136" spans="84:129" ht="9" customHeight="1" x14ac:dyDescent="0.2">
      <c r="CF136" s="36"/>
      <c r="CG136" s="36"/>
      <c r="CH136" s="36"/>
      <c r="CI136" s="36"/>
      <c r="CJ136" s="36"/>
      <c r="CK136" s="36"/>
      <c r="CL136" s="36"/>
      <c r="CM136" s="37"/>
      <c r="CN136" s="36"/>
      <c r="CO136" s="36"/>
      <c r="CP136" s="36"/>
      <c r="CQ136" s="36"/>
      <c r="CR136" s="36"/>
      <c r="CS136" s="36"/>
      <c r="CT136" s="36"/>
      <c r="CU136" s="36"/>
      <c r="CV136" s="36"/>
      <c r="CW136" s="36"/>
      <c r="CX136" s="36"/>
      <c r="CY136" s="36"/>
      <c r="CZ136" s="36"/>
      <c r="DA136" s="36"/>
      <c r="DB136" s="36"/>
      <c r="DC136" s="36"/>
      <c r="DD136" s="36"/>
      <c r="DE136" s="36"/>
      <c r="DF136" s="36"/>
      <c r="DG136" s="36"/>
      <c r="DH136" s="36"/>
      <c r="DI136" s="36"/>
      <c r="DJ136" s="36"/>
      <c r="DK136" s="36"/>
      <c r="DL136" s="36"/>
      <c r="DM136" s="36"/>
      <c r="DN136" s="36"/>
      <c r="DO136" s="36"/>
      <c r="DP136" s="36"/>
      <c r="DQ136" s="36"/>
      <c r="DR136" s="36"/>
      <c r="DS136" s="36"/>
      <c r="DT136" s="36"/>
      <c r="DU136" s="36"/>
      <c r="DV136" s="36"/>
      <c r="DW136" s="36"/>
      <c r="DX136" s="36"/>
      <c r="DY136" s="36"/>
    </row>
    <row r="137" spans="84:129" ht="9" customHeight="1" x14ac:dyDescent="0.2">
      <c r="CF137" s="36"/>
      <c r="CG137" s="36"/>
      <c r="CH137" s="36"/>
      <c r="CI137" s="36"/>
      <c r="CJ137" s="36"/>
      <c r="CK137" s="36"/>
      <c r="CL137" s="36"/>
      <c r="CM137" s="37"/>
      <c r="CN137" s="36"/>
      <c r="CO137" s="36"/>
      <c r="CP137" s="36"/>
      <c r="CQ137" s="36"/>
      <c r="CR137" s="36"/>
      <c r="CS137" s="36"/>
      <c r="CT137" s="36"/>
      <c r="CU137" s="36"/>
      <c r="CV137" s="36"/>
      <c r="CW137" s="36"/>
      <c r="CX137" s="36"/>
      <c r="CY137" s="36"/>
      <c r="CZ137" s="36"/>
      <c r="DA137" s="36"/>
      <c r="DB137" s="36"/>
      <c r="DC137" s="36"/>
      <c r="DD137" s="36"/>
      <c r="DE137" s="36"/>
      <c r="DF137" s="36"/>
      <c r="DG137" s="36"/>
      <c r="DH137" s="36"/>
      <c r="DI137" s="36"/>
      <c r="DJ137" s="36"/>
      <c r="DK137" s="36"/>
      <c r="DL137" s="36"/>
      <c r="DM137" s="36"/>
      <c r="DN137" s="36"/>
      <c r="DO137" s="36"/>
      <c r="DP137" s="36"/>
      <c r="DQ137" s="36"/>
      <c r="DR137" s="36"/>
      <c r="DS137" s="36"/>
      <c r="DT137" s="36"/>
      <c r="DU137" s="36"/>
      <c r="DV137" s="36"/>
      <c r="DW137" s="36"/>
      <c r="DX137" s="36"/>
      <c r="DY137" s="36"/>
    </row>
    <row r="138" spans="84:129" ht="9" customHeight="1" x14ac:dyDescent="0.2">
      <c r="CF138" s="36"/>
      <c r="CG138" s="36"/>
      <c r="CH138" s="36"/>
      <c r="CI138" s="36"/>
      <c r="CJ138" s="36"/>
      <c r="CK138" s="36"/>
      <c r="CL138" s="36"/>
      <c r="CM138" s="37"/>
      <c r="CN138" s="36"/>
      <c r="CO138" s="36"/>
      <c r="CP138" s="36"/>
      <c r="CQ138" s="36"/>
      <c r="CR138" s="36"/>
      <c r="CS138" s="36"/>
      <c r="CT138" s="36"/>
      <c r="CU138" s="36"/>
      <c r="CV138" s="36"/>
      <c r="CW138" s="36"/>
      <c r="CX138" s="36"/>
      <c r="CY138" s="36"/>
      <c r="CZ138" s="36"/>
      <c r="DA138" s="36"/>
      <c r="DB138" s="36"/>
      <c r="DC138" s="36"/>
      <c r="DD138" s="36"/>
      <c r="DE138" s="36"/>
      <c r="DF138" s="36"/>
      <c r="DG138" s="36"/>
      <c r="DH138" s="36"/>
      <c r="DI138" s="36"/>
      <c r="DJ138" s="36"/>
      <c r="DK138" s="36"/>
      <c r="DL138" s="36"/>
      <c r="DM138" s="36"/>
      <c r="DN138" s="36"/>
      <c r="DO138" s="36"/>
      <c r="DP138" s="36"/>
      <c r="DQ138" s="36"/>
      <c r="DR138" s="36"/>
      <c r="DS138" s="36"/>
      <c r="DT138" s="36"/>
      <c r="DU138" s="36"/>
      <c r="DV138" s="36"/>
      <c r="DW138" s="36"/>
      <c r="DX138" s="36"/>
      <c r="DY138" s="36"/>
    </row>
    <row r="139" spans="84:129" ht="9" customHeight="1" x14ac:dyDescent="0.2">
      <c r="CF139" s="36"/>
      <c r="CG139" s="36"/>
      <c r="CH139" s="36"/>
      <c r="CI139" s="36"/>
      <c r="CJ139" s="36"/>
      <c r="CK139" s="36"/>
      <c r="CL139" s="36"/>
      <c r="CM139" s="37"/>
      <c r="CN139" s="36"/>
      <c r="CO139" s="36"/>
      <c r="CP139" s="36"/>
      <c r="CQ139" s="36"/>
      <c r="CR139" s="36"/>
      <c r="CS139" s="36"/>
      <c r="CT139" s="36"/>
      <c r="CU139" s="36"/>
      <c r="CV139" s="36"/>
      <c r="CW139" s="36"/>
      <c r="CX139" s="36"/>
      <c r="CY139" s="36"/>
      <c r="CZ139" s="36"/>
      <c r="DA139" s="36"/>
      <c r="DB139" s="36"/>
      <c r="DC139" s="36"/>
      <c r="DD139" s="36"/>
      <c r="DE139" s="36"/>
      <c r="DF139" s="36"/>
      <c r="DG139" s="36"/>
      <c r="DH139" s="36"/>
      <c r="DI139" s="36"/>
      <c r="DJ139" s="36"/>
      <c r="DK139" s="36"/>
      <c r="DL139" s="36"/>
      <c r="DM139" s="36"/>
      <c r="DN139" s="36"/>
      <c r="DO139" s="36"/>
      <c r="DP139" s="36"/>
      <c r="DQ139" s="36"/>
      <c r="DR139" s="36"/>
      <c r="DS139" s="36"/>
      <c r="DT139" s="36"/>
      <c r="DU139" s="36"/>
      <c r="DV139" s="36"/>
      <c r="DW139" s="36"/>
      <c r="DX139" s="36"/>
      <c r="DY139" s="36"/>
    </row>
    <row r="140" spans="84:129" ht="9" customHeight="1" x14ac:dyDescent="0.2">
      <c r="CF140" s="36"/>
      <c r="CG140" s="36"/>
      <c r="CH140" s="36"/>
      <c r="CI140" s="36"/>
      <c r="CJ140" s="36"/>
      <c r="CK140" s="36"/>
      <c r="CL140" s="36"/>
      <c r="CM140" s="37"/>
      <c r="CN140" s="36"/>
      <c r="CO140" s="36"/>
      <c r="CP140" s="36"/>
      <c r="CQ140" s="36"/>
      <c r="CR140" s="36"/>
      <c r="CS140" s="36"/>
      <c r="CT140" s="36"/>
      <c r="CU140" s="36"/>
      <c r="CV140" s="36"/>
      <c r="CW140" s="36"/>
      <c r="CX140" s="36"/>
      <c r="CY140" s="36"/>
      <c r="CZ140" s="36"/>
      <c r="DA140" s="36"/>
      <c r="DB140" s="36"/>
      <c r="DC140" s="36"/>
      <c r="DD140" s="36"/>
      <c r="DE140" s="36"/>
      <c r="DF140" s="36"/>
      <c r="DG140" s="36"/>
      <c r="DH140" s="36"/>
      <c r="DI140" s="36"/>
      <c r="DJ140" s="36"/>
      <c r="DK140" s="36"/>
      <c r="DL140" s="36"/>
      <c r="DM140" s="36"/>
      <c r="DN140" s="36"/>
      <c r="DO140" s="36"/>
      <c r="DP140" s="36"/>
      <c r="DQ140" s="36"/>
      <c r="DR140" s="36"/>
      <c r="DS140" s="36"/>
      <c r="DT140" s="36"/>
      <c r="DU140" s="36"/>
      <c r="DV140" s="36"/>
      <c r="DW140" s="36"/>
      <c r="DX140" s="36"/>
      <c r="DY140" s="36"/>
    </row>
    <row r="141" spans="84:129" ht="9" customHeight="1" x14ac:dyDescent="0.2">
      <c r="CF141" s="36"/>
      <c r="CG141" s="36"/>
      <c r="CH141" s="36"/>
      <c r="CI141" s="36"/>
      <c r="CJ141" s="36"/>
      <c r="CK141" s="36"/>
      <c r="CL141" s="36"/>
      <c r="CM141" s="37"/>
      <c r="CN141" s="36"/>
      <c r="CO141" s="36"/>
      <c r="CP141" s="36"/>
      <c r="CQ141" s="36"/>
      <c r="CR141" s="36"/>
      <c r="CS141" s="36"/>
      <c r="CT141" s="36"/>
      <c r="CU141" s="36"/>
      <c r="CV141" s="36"/>
      <c r="CW141" s="36"/>
      <c r="CX141" s="36"/>
      <c r="CY141" s="36"/>
      <c r="CZ141" s="36"/>
      <c r="DA141" s="36"/>
      <c r="DB141" s="36"/>
      <c r="DC141" s="36"/>
      <c r="DD141" s="36"/>
      <c r="DE141" s="36"/>
      <c r="DF141" s="36"/>
      <c r="DG141" s="36"/>
      <c r="DH141" s="36"/>
      <c r="DI141" s="36"/>
      <c r="DJ141" s="36"/>
      <c r="DK141" s="36"/>
      <c r="DL141" s="36"/>
      <c r="DM141" s="36"/>
      <c r="DN141" s="36"/>
      <c r="DO141" s="36"/>
      <c r="DP141" s="36"/>
      <c r="DQ141" s="36"/>
      <c r="DR141" s="36"/>
      <c r="DS141" s="36"/>
      <c r="DT141" s="36"/>
      <c r="DU141" s="36"/>
      <c r="DV141" s="36"/>
      <c r="DW141" s="36"/>
      <c r="DX141" s="36"/>
      <c r="DY141" s="36"/>
    </row>
    <row r="142" spans="84:129" ht="9" customHeight="1" x14ac:dyDescent="0.2">
      <c r="CF142" s="36"/>
      <c r="CG142" s="36"/>
      <c r="CH142" s="36"/>
      <c r="CI142" s="36"/>
      <c r="CJ142" s="36"/>
      <c r="CK142" s="36"/>
      <c r="CL142" s="36"/>
      <c r="CM142" s="37"/>
      <c r="CN142" s="36"/>
      <c r="CO142" s="36"/>
      <c r="CP142" s="36"/>
      <c r="CQ142" s="36"/>
      <c r="CR142" s="36"/>
      <c r="CS142" s="36"/>
      <c r="CT142" s="36"/>
      <c r="CU142" s="36"/>
      <c r="CV142" s="36"/>
      <c r="CW142" s="36"/>
      <c r="CX142" s="36"/>
      <c r="CY142" s="36"/>
      <c r="CZ142" s="36"/>
      <c r="DA142" s="36"/>
      <c r="DB142" s="36"/>
      <c r="DC142" s="36"/>
      <c r="DD142" s="36"/>
      <c r="DE142" s="36"/>
      <c r="DF142" s="36"/>
      <c r="DG142" s="36"/>
      <c r="DH142" s="36"/>
      <c r="DI142" s="36"/>
      <c r="DJ142" s="36"/>
      <c r="DK142" s="36"/>
      <c r="DL142" s="36"/>
      <c r="DM142" s="36"/>
      <c r="DN142" s="36"/>
      <c r="DO142" s="36"/>
      <c r="DP142" s="36"/>
      <c r="DQ142" s="36"/>
      <c r="DR142" s="36"/>
      <c r="DS142" s="36"/>
      <c r="DT142" s="36"/>
      <c r="DU142" s="36"/>
      <c r="DV142" s="36"/>
      <c r="DW142" s="36"/>
      <c r="DX142" s="36"/>
      <c r="DY142" s="36"/>
    </row>
    <row r="143" spans="84:129" ht="9" customHeight="1" x14ac:dyDescent="0.2">
      <c r="CF143" s="36"/>
      <c r="CG143" s="36"/>
      <c r="CH143" s="36"/>
      <c r="CI143" s="36"/>
      <c r="CJ143" s="36"/>
      <c r="CK143" s="36"/>
      <c r="CL143" s="36"/>
      <c r="CM143" s="37"/>
      <c r="CN143" s="36"/>
      <c r="CO143" s="36"/>
      <c r="CP143" s="36"/>
      <c r="CQ143" s="36"/>
      <c r="CR143" s="36"/>
      <c r="CS143" s="36"/>
      <c r="CT143" s="36"/>
      <c r="CU143" s="36"/>
      <c r="CV143" s="36"/>
      <c r="CW143" s="36"/>
      <c r="CX143" s="36"/>
      <c r="CY143" s="36"/>
      <c r="CZ143" s="36"/>
      <c r="DA143" s="36"/>
      <c r="DB143" s="36"/>
      <c r="DC143" s="36"/>
      <c r="DD143" s="36"/>
      <c r="DE143" s="36"/>
      <c r="DF143" s="36"/>
      <c r="DG143" s="36"/>
      <c r="DH143" s="36"/>
      <c r="DI143" s="36"/>
      <c r="DJ143" s="36"/>
      <c r="DK143" s="36"/>
      <c r="DL143" s="36"/>
      <c r="DM143" s="36"/>
      <c r="DN143" s="36"/>
      <c r="DO143" s="36"/>
      <c r="DP143" s="36"/>
      <c r="DQ143" s="36"/>
      <c r="DR143" s="36"/>
      <c r="DS143" s="36"/>
      <c r="DT143" s="36"/>
      <c r="DU143" s="36"/>
      <c r="DV143" s="36"/>
      <c r="DW143" s="36"/>
      <c r="DX143" s="36"/>
      <c r="DY143" s="36"/>
    </row>
    <row r="144" spans="84:129" ht="9" customHeight="1" x14ac:dyDescent="0.2">
      <c r="CF144" s="36"/>
      <c r="CG144" s="36"/>
      <c r="CH144" s="36"/>
      <c r="CI144" s="36"/>
      <c r="CJ144" s="36"/>
      <c r="CK144" s="36"/>
      <c r="CL144" s="36"/>
      <c r="CM144" s="37"/>
      <c r="CN144" s="36"/>
      <c r="CO144" s="36"/>
      <c r="CP144" s="36"/>
      <c r="CQ144" s="36"/>
      <c r="CR144" s="36"/>
      <c r="CS144" s="36"/>
      <c r="CT144" s="36"/>
      <c r="CU144" s="36"/>
      <c r="CV144" s="36"/>
      <c r="CW144" s="36"/>
      <c r="CX144" s="36"/>
      <c r="CY144" s="36"/>
      <c r="CZ144" s="36"/>
      <c r="DA144" s="36"/>
      <c r="DB144" s="36"/>
      <c r="DC144" s="36"/>
      <c r="DD144" s="36"/>
      <c r="DE144" s="36"/>
      <c r="DF144" s="36"/>
      <c r="DG144" s="36"/>
      <c r="DH144" s="36"/>
      <c r="DI144" s="36"/>
      <c r="DJ144" s="36"/>
      <c r="DK144" s="36"/>
      <c r="DL144" s="36"/>
      <c r="DM144" s="36"/>
      <c r="DN144" s="36"/>
      <c r="DO144" s="36"/>
      <c r="DP144" s="36"/>
      <c r="DQ144" s="36"/>
      <c r="DR144" s="36"/>
      <c r="DS144" s="36"/>
      <c r="DT144" s="36"/>
      <c r="DU144" s="36"/>
      <c r="DV144" s="36"/>
      <c r="DW144" s="36"/>
      <c r="DX144" s="36"/>
      <c r="DY144" s="36"/>
    </row>
    <row r="145" spans="84:129" ht="9" customHeight="1" x14ac:dyDescent="0.2">
      <c r="CF145" s="36"/>
      <c r="CG145" s="36"/>
      <c r="CH145" s="36"/>
      <c r="CI145" s="36"/>
      <c r="CJ145" s="36"/>
      <c r="CK145" s="36"/>
      <c r="CL145" s="36"/>
      <c r="CM145" s="37"/>
      <c r="CN145" s="36"/>
      <c r="CO145" s="36"/>
      <c r="CP145" s="36"/>
      <c r="CQ145" s="36"/>
      <c r="CR145" s="36"/>
      <c r="CS145" s="36"/>
      <c r="CT145" s="36"/>
      <c r="CU145" s="36"/>
      <c r="CV145" s="36"/>
      <c r="CW145" s="36"/>
      <c r="CX145" s="36"/>
      <c r="CY145" s="36"/>
      <c r="CZ145" s="36"/>
      <c r="DA145" s="36"/>
      <c r="DB145" s="36"/>
      <c r="DC145" s="36"/>
      <c r="DD145" s="36"/>
      <c r="DE145" s="36"/>
      <c r="DF145" s="36"/>
      <c r="DG145" s="36"/>
      <c r="DH145" s="36"/>
      <c r="DI145" s="36"/>
      <c r="DJ145" s="36"/>
      <c r="DK145" s="36"/>
      <c r="DL145" s="36"/>
      <c r="DM145" s="36"/>
      <c r="DN145" s="36"/>
      <c r="DO145" s="36"/>
      <c r="DP145" s="36"/>
      <c r="DQ145" s="36"/>
      <c r="DR145" s="36"/>
      <c r="DS145" s="36"/>
      <c r="DT145" s="36"/>
      <c r="DU145" s="36"/>
      <c r="DV145" s="36"/>
      <c r="DW145" s="36"/>
      <c r="DX145" s="36"/>
      <c r="DY145" s="36"/>
    </row>
    <row r="146" spans="84:129" ht="9" customHeight="1" x14ac:dyDescent="0.2">
      <c r="CF146" s="36"/>
      <c r="CG146" s="36"/>
      <c r="CH146" s="36"/>
      <c r="CI146" s="36"/>
      <c r="CJ146" s="36"/>
      <c r="CK146" s="36"/>
      <c r="CL146" s="36"/>
      <c r="CM146" s="37"/>
      <c r="CN146" s="36"/>
      <c r="CO146" s="36"/>
      <c r="CP146" s="36"/>
      <c r="CQ146" s="36"/>
      <c r="CR146" s="36"/>
      <c r="CS146" s="36"/>
      <c r="CT146" s="36"/>
      <c r="CU146" s="36"/>
      <c r="CV146" s="36"/>
      <c r="CW146" s="36"/>
      <c r="CX146" s="36"/>
      <c r="CY146" s="36"/>
      <c r="CZ146" s="36"/>
      <c r="DA146" s="36"/>
      <c r="DB146" s="36"/>
      <c r="DC146" s="36"/>
      <c r="DD146" s="36"/>
      <c r="DE146" s="36"/>
      <c r="DF146" s="36"/>
      <c r="DG146" s="36"/>
      <c r="DH146" s="36"/>
      <c r="DI146" s="36"/>
      <c r="DJ146" s="36"/>
      <c r="DK146" s="36"/>
      <c r="DL146" s="36"/>
      <c r="DM146" s="36"/>
      <c r="DN146" s="36"/>
      <c r="DO146" s="36"/>
      <c r="DP146" s="36"/>
      <c r="DQ146" s="36"/>
      <c r="DR146" s="36"/>
      <c r="DS146" s="36"/>
      <c r="DT146" s="36"/>
      <c r="DU146" s="36"/>
      <c r="DV146" s="36"/>
      <c r="DW146" s="36"/>
      <c r="DX146" s="36"/>
      <c r="DY146" s="36"/>
    </row>
    <row r="147" spans="84:129" ht="9" customHeight="1" x14ac:dyDescent="0.2">
      <c r="CF147" s="36"/>
      <c r="CG147" s="36"/>
      <c r="CH147" s="36"/>
      <c r="CI147" s="36"/>
      <c r="CJ147" s="36"/>
      <c r="CK147" s="36"/>
      <c r="CL147" s="36"/>
      <c r="CM147" s="37"/>
      <c r="CN147" s="36"/>
      <c r="CO147" s="36"/>
      <c r="CP147" s="36"/>
      <c r="CQ147" s="36"/>
      <c r="CR147" s="36"/>
      <c r="CS147" s="36"/>
      <c r="CT147" s="36"/>
      <c r="CU147" s="36"/>
      <c r="CV147" s="36"/>
      <c r="CW147" s="36"/>
      <c r="CX147" s="36"/>
      <c r="CY147" s="36"/>
      <c r="CZ147" s="36"/>
      <c r="DA147" s="36"/>
      <c r="DB147" s="36"/>
      <c r="DC147" s="36"/>
      <c r="DD147" s="36"/>
      <c r="DE147" s="36"/>
      <c r="DF147" s="36"/>
      <c r="DG147" s="36"/>
      <c r="DH147" s="36"/>
      <c r="DI147" s="36"/>
      <c r="DJ147" s="36"/>
      <c r="DK147" s="36"/>
      <c r="DL147" s="36"/>
      <c r="DM147" s="36"/>
      <c r="DN147" s="36"/>
      <c r="DO147" s="36"/>
      <c r="DP147" s="36"/>
      <c r="DQ147" s="36"/>
      <c r="DR147" s="36"/>
      <c r="DS147" s="36"/>
      <c r="DT147" s="36"/>
      <c r="DU147" s="36"/>
      <c r="DV147" s="36"/>
      <c r="DW147" s="36"/>
      <c r="DX147" s="36"/>
      <c r="DY147" s="36"/>
    </row>
    <row r="148" spans="84:129" ht="9" customHeight="1" x14ac:dyDescent="0.2">
      <c r="CF148" s="36"/>
      <c r="CG148" s="36"/>
      <c r="CH148" s="36"/>
      <c r="CI148" s="36"/>
      <c r="CJ148" s="36"/>
      <c r="CK148" s="36"/>
      <c r="CL148" s="36"/>
      <c r="CM148" s="37"/>
      <c r="CN148" s="36"/>
      <c r="CO148" s="36"/>
      <c r="CP148" s="36"/>
      <c r="CQ148" s="36"/>
      <c r="CR148" s="36"/>
      <c r="CS148" s="36"/>
      <c r="CT148" s="36"/>
      <c r="CU148" s="36"/>
      <c r="CV148" s="36"/>
      <c r="CW148" s="36"/>
      <c r="CX148" s="36"/>
      <c r="CY148" s="36"/>
      <c r="CZ148" s="36"/>
      <c r="DA148" s="36"/>
      <c r="DB148" s="36"/>
      <c r="DC148" s="36"/>
      <c r="DD148" s="36"/>
      <c r="DE148" s="36"/>
      <c r="DF148" s="36"/>
      <c r="DG148" s="36"/>
      <c r="DH148" s="36"/>
      <c r="DI148" s="36"/>
      <c r="DJ148" s="36"/>
      <c r="DK148" s="36"/>
      <c r="DL148" s="36"/>
      <c r="DM148" s="36"/>
      <c r="DN148" s="36"/>
      <c r="DO148" s="36"/>
      <c r="DP148" s="36"/>
      <c r="DQ148" s="36"/>
      <c r="DR148" s="36"/>
      <c r="DS148" s="36"/>
      <c r="DT148" s="36"/>
      <c r="DU148" s="36"/>
      <c r="DV148" s="36"/>
      <c r="DW148" s="36"/>
      <c r="DX148" s="36"/>
      <c r="DY148" s="36"/>
    </row>
    <row r="149" spans="84:129" ht="9" customHeight="1" x14ac:dyDescent="0.2">
      <c r="CF149" s="36"/>
      <c r="CG149" s="36"/>
      <c r="CH149" s="36"/>
      <c r="CI149" s="36"/>
      <c r="CJ149" s="36"/>
      <c r="CK149" s="36"/>
      <c r="CL149" s="36"/>
      <c r="CM149" s="37"/>
      <c r="CN149" s="36"/>
      <c r="CO149" s="36"/>
      <c r="CP149" s="36"/>
      <c r="CQ149" s="36"/>
      <c r="CR149" s="36"/>
      <c r="CS149" s="36"/>
      <c r="CT149" s="36"/>
      <c r="CU149" s="36"/>
      <c r="CV149" s="36"/>
      <c r="CW149" s="36"/>
      <c r="CX149" s="36"/>
      <c r="CY149" s="36"/>
      <c r="CZ149" s="36"/>
      <c r="DA149" s="36"/>
      <c r="DB149" s="36"/>
      <c r="DC149" s="36"/>
      <c r="DD149" s="36"/>
      <c r="DE149" s="36"/>
      <c r="DF149" s="36"/>
      <c r="DG149" s="36"/>
      <c r="DH149" s="36"/>
      <c r="DI149" s="36"/>
      <c r="DJ149" s="36"/>
      <c r="DK149" s="36"/>
      <c r="DL149" s="36"/>
      <c r="DM149" s="36"/>
      <c r="DN149" s="36"/>
      <c r="DO149" s="36"/>
      <c r="DP149" s="36"/>
      <c r="DQ149" s="36"/>
      <c r="DR149" s="36"/>
      <c r="DS149" s="36"/>
      <c r="DT149" s="36"/>
      <c r="DU149" s="36"/>
      <c r="DV149" s="36"/>
      <c r="DW149" s="36"/>
      <c r="DX149" s="36"/>
      <c r="DY149" s="36"/>
    </row>
    <row r="150" spans="84:129" ht="9" customHeight="1" x14ac:dyDescent="0.2">
      <c r="CF150" s="36"/>
      <c r="CG150" s="36"/>
      <c r="CH150" s="36"/>
      <c r="CI150" s="36"/>
      <c r="CJ150" s="36"/>
      <c r="CK150" s="36"/>
      <c r="CL150" s="36"/>
      <c r="CM150" s="37"/>
      <c r="CN150" s="36"/>
      <c r="CO150" s="36"/>
      <c r="CP150" s="36"/>
      <c r="CQ150" s="36"/>
      <c r="CR150" s="36"/>
      <c r="CS150" s="36"/>
      <c r="CT150" s="36"/>
      <c r="CU150" s="36"/>
      <c r="CV150" s="36"/>
      <c r="CW150" s="36"/>
      <c r="CX150" s="36"/>
      <c r="CY150" s="36"/>
      <c r="CZ150" s="36"/>
      <c r="DA150" s="36"/>
      <c r="DB150" s="36"/>
      <c r="DC150" s="36"/>
      <c r="DD150" s="36"/>
      <c r="DE150" s="36"/>
      <c r="DF150" s="36"/>
      <c r="DG150" s="36"/>
      <c r="DH150" s="36"/>
      <c r="DI150" s="36"/>
      <c r="DJ150" s="36"/>
      <c r="DK150" s="36"/>
      <c r="DL150" s="36"/>
      <c r="DM150" s="36"/>
      <c r="DN150" s="36"/>
      <c r="DO150" s="36"/>
      <c r="DP150" s="36"/>
      <c r="DQ150" s="36"/>
      <c r="DR150" s="36"/>
      <c r="DS150" s="36"/>
      <c r="DT150" s="36"/>
      <c r="DU150" s="36"/>
      <c r="DV150" s="36"/>
      <c r="DW150" s="36"/>
      <c r="DX150" s="36"/>
      <c r="DY150" s="36"/>
    </row>
    <row r="151" spans="84:129" ht="9" customHeight="1" x14ac:dyDescent="0.2">
      <c r="CF151" s="36"/>
      <c r="CG151" s="36"/>
      <c r="CH151" s="36"/>
      <c r="CI151" s="36"/>
      <c r="CJ151" s="36"/>
      <c r="CK151" s="36"/>
      <c r="CL151" s="36"/>
      <c r="CM151" s="37"/>
      <c r="CN151" s="36"/>
      <c r="CO151" s="36"/>
      <c r="CP151" s="36"/>
      <c r="CQ151" s="36"/>
      <c r="CR151" s="36"/>
      <c r="CS151" s="36"/>
      <c r="CT151" s="36"/>
      <c r="CU151" s="36"/>
      <c r="CV151" s="36"/>
      <c r="CW151" s="36"/>
      <c r="CX151" s="36"/>
      <c r="CY151" s="36"/>
      <c r="CZ151" s="36"/>
      <c r="DA151" s="36"/>
      <c r="DB151" s="36"/>
      <c r="DC151" s="36"/>
      <c r="DD151" s="36"/>
      <c r="DE151" s="36"/>
      <c r="DF151" s="36"/>
      <c r="DG151" s="36"/>
      <c r="DH151" s="36"/>
      <c r="DI151" s="36"/>
      <c r="DJ151" s="36"/>
      <c r="DK151" s="36"/>
      <c r="DL151" s="36"/>
      <c r="DM151" s="36"/>
      <c r="DN151" s="36"/>
      <c r="DO151" s="36"/>
      <c r="DP151" s="36"/>
      <c r="DQ151" s="36"/>
      <c r="DR151" s="36"/>
      <c r="DS151" s="36"/>
      <c r="DT151" s="36"/>
      <c r="DU151" s="36"/>
      <c r="DV151" s="36"/>
      <c r="DW151" s="36"/>
      <c r="DX151" s="36"/>
      <c r="DY151" s="36"/>
    </row>
    <row r="152" spans="84:129" ht="9" customHeight="1" x14ac:dyDescent="0.2">
      <c r="CF152" s="36"/>
      <c r="CG152" s="36"/>
      <c r="CH152" s="36"/>
      <c r="CI152" s="36"/>
      <c r="CJ152" s="36"/>
      <c r="CK152" s="36"/>
      <c r="CL152" s="36"/>
      <c r="CM152" s="37"/>
      <c r="CN152" s="36"/>
      <c r="CO152" s="36"/>
      <c r="CP152" s="36"/>
      <c r="CQ152" s="36"/>
      <c r="CR152" s="36"/>
      <c r="CS152" s="36"/>
      <c r="CT152" s="36"/>
      <c r="CU152" s="36"/>
      <c r="CV152" s="36"/>
      <c r="CW152" s="36"/>
      <c r="CX152" s="36"/>
      <c r="CY152" s="36"/>
      <c r="CZ152" s="36"/>
      <c r="DA152" s="36"/>
      <c r="DB152" s="36"/>
      <c r="DC152" s="36"/>
      <c r="DD152" s="36"/>
      <c r="DE152" s="36"/>
      <c r="DF152" s="36"/>
      <c r="DG152" s="36"/>
      <c r="DH152" s="36"/>
      <c r="DI152" s="36"/>
      <c r="DJ152" s="36"/>
      <c r="DK152" s="36"/>
      <c r="DL152" s="36"/>
      <c r="DM152" s="36"/>
      <c r="DN152" s="36"/>
      <c r="DO152" s="36"/>
      <c r="DP152" s="36"/>
      <c r="DQ152" s="36"/>
      <c r="DR152" s="36"/>
      <c r="DS152" s="36"/>
      <c r="DT152" s="36"/>
      <c r="DU152" s="36"/>
      <c r="DV152" s="36"/>
      <c r="DW152" s="36"/>
      <c r="DX152" s="36"/>
      <c r="DY152" s="36"/>
    </row>
    <row r="153" spans="84:129" ht="9" customHeight="1" x14ac:dyDescent="0.2">
      <c r="CF153" s="36"/>
      <c r="CG153" s="36"/>
      <c r="CH153" s="36"/>
      <c r="CI153" s="36"/>
      <c r="CJ153" s="36"/>
      <c r="CK153" s="36"/>
      <c r="CL153" s="36"/>
      <c r="CM153" s="37"/>
      <c r="CN153" s="36"/>
      <c r="CO153" s="36"/>
      <c r="CP153" s="36"/>
      <c r="CQ153" s="36"/>
      <c r="CR153" s="36"/>
      <c r="CS153" s="36"/>
      <c r="CT153" s="36"/>
      <c r="CU153" s="36"/>
      <c r="CV153" s="36"/>
      <c r="CW153" s="36"/>
      <c r="CX153" s="36"/>
      <c r="CY153" s="36"/>
      <c r="CZ153" s="36"/>
      <c r="DA153" s="36"/>
      <c r="DB153" s="36"/>
      <c r="DC153" s="36"/>
      <c r="DD153" s="36"/>
      <c r="DE153" s="36"/>
      <c r="DF153" s="36"/>
      <c r="DG153" s="36"/>
      <c r="DH153" s="36"/>
      <c r="DI153" s="36"/>
      <c r="DJ153" s="36"/>
      <c r="DK153" s="36"/>
      <c r="DL153" s="36"/>
      <c r="DM153" s="36"/>
      <c r="DN153" s="36"/>
      <c r="DO153" s="36"/>
      <c r="DP153" s="36"/>
      <c r="DQ153" s="36"/>
      <c r="DR153" s="36"/>
      <c r="DS153" s="36"/>
      <c r="DT153" s="36"/>
      <c r="DU153" s="36"/>
      <c r="DV153" s="36"/>
      <c r="DW153" s="36"/>
      <c r="DX153" s="36"/>
      <c r="DY153" s="36"/>
    </row>
    <row r="154" spans="84:129" ht="9" customHeight="1" x14ac:dyDescent="0.2">
      <c r="CF154" s="36"/>
      <c r="CG154" s="36"/>
      <c r="CH154" s="36"/>
      <c r="CI154" s="36"/>
      <c r="CJ154" s="36"/>
      <c r="CK154" s="36"/>
      <c r="CL154" s="36"/>
      <c r="CM154" s="37"/>
      <c r="CN154" s="36"/>
      <c r="CO154" s="36"/>
      <c r="CP154" s="36"/>
      <c r="CQ154" s="36"/>
      <c r="CR154" s="36"/>
      <c r="CS154" s="36"/>
      <c r="CT154" s="36"/>
      <c r="CU154" s="36"/>
      <c r="CV154" s="36"/>
      <c r="CW154" s="36"/>
      <c r="CX154" s="36"/>
      <c r="CY154" s="36"/>
      <c r="CZ154" s="36"/>
      <c r="DA154" s="36"/>
      <c r="DB154" s="36"/>
      <c r="DC154" s="36"/>
      <c r="DD154" s="36"/>
      <c r="DE154" s="36"/>
      <c r="DF154" s="36"/>
      <c r="DG154" s="36"/>
      <c r="DH154" s="36"/>
      <c r="DI154" s="36"/>
      <c r="DJ154" s="36"/>
      <c r="DK154" s="36"/>
      <c r="DL154" s="36"/>
      <c r="DM154" s="36"/>
      <c r="DN154" s="36"/>
      <c r="DO154" s="36"/>
      <c r="DP154" s="36"/>
      <c r="DQ154" s="36"/>
      <c r="DR154" s="36"/>
      <c r="DS154" s="36"/>
      <c r="DT154" s="36"/>
      <c r="DU154" s="36"/>
      <c r="DV154" s="36"/>
      <c r="DW154" s="36"/>
      <c r="DX154" s="36"/>
      <c r="DY154" s="36"/>
    </row>
    <row r="155" spans="84:129" ht="9" customHeight="1" x14ac:dyDescent="0.2">
      <c r="CF155" s="36"/>
      <c r="CG155" s="36"/>
      <c r="CH155" s="36"/>
      <c r="CI155" s="36"/>
      <c r="CJ155" s="36"/>
      <c r="CK155" s="36"/>
      <c r="CL155" s="36"/>
      <c r="CM155" s="37"/>
      <c r="CN155" s="36"/>
      <c r="CO155" s="36"/>
      <c r="CP155" s="36"/>
      <c r="CQ155" s="36"/>
      <c r="CR155" s="36"/>
      <c r="CS155" s="36"/>
      <c r="CT155" s="36"/>
      <c r="CU155" s="36"/>
      <c r="CV155" s="36"/>
      <c r="CW155" s="36"/>
      <c r="CX155" s="36"/>
      <c r="CY155" s="36"/>
      <c r="CZ155" s="36"/>
      <c r="DA155" s="36"/>
      <c r="DB155" s="36"/>
      <c r="DC155" s="36"/>
      <c r="DD155" s="36"/>
      <c r="DE155" s="36"/>
      <c r="DF155" s="36"/>
      <c r="DG155" s="36"/>
      <c r="DH155" s="36"/>
      <c r="DI155" s="36"/>
      <c r="DJ155" s="36"/>
      <c r="DK155" s="36"/>
      <c r="DL155" s="36"/>
      <c r="DM155" s="36"/>
      <c r="DN155" s="36"/>
      <c r="DO155" s="36"/>
      <c r="DP155" s="36"/>
      <c r="DQ155" s="36"/>
      <c r="DR155" s="36"/>
      <c r="DS155" s="36"/>
      <c r="DT155" s="36"/>
      <c r="DU155" s="36"/>
      <c r="DV155" s="36"/>
      <c r="DW155" s="36"/>
      <c r="DX155" s="36"/>
      <c r="DY155" s="36"/>
    </row>
    <row r="156" spans="84:129" ht="9" customHeight="1" x14ac:dyDescent="0.2">
      <c r="CF156" s="36"/>
      <c r="CG156" s="36"/>
      <c r="CH156" s="36"/>
      <c r="CI156" s="36"/>
      <c r="CJ156" s="36"/>
      <c r="CK156" s="36"/>
      <c r="CL156" s="36"/>
      <c r="CM156" s="37"/>
      <c r="CN156" s="36"/>
      <c r="CO156" s="36"/>
      <c r="CP156" s="36"/>
      <c r="CQ156" s="36"/>
      <c r="CR156" s="36"/>
      <c r="CS156" s="36"/>
      <c r="CT156" s="36"/>
      <c r="CU156" s="36"/>
      <c r="CV156" s="36"/>
      <c r="CW156" s="36"/>
      <c r="CX156" s="36"/>
      <c r="CY156" s="36"/>
      <c r="CZ156" s="36"/>
      <c r="DA156" s="36"/>
      <c r="DB156" s="36"/>
      <c r="DC156" s="36"/>
      <c r="DD156" s="36"/>
      <c r="DE156" s="36"/>
      <c r="DF156" s="36"/>
      <c r="DG156" s="36"/>
      <c r="DH156" s="36"/>
      <c r="DI156" s="36"/>
      <c r="DJ156" s="36"/>
      <c r="DK156" s="36"/>
      <c r="DL156" s="36"/>
      <c r="DM156" s="36"/>
      <c r="DN156" s="36"/>
      <c r="DO156" s="36"/>
      <c r="DP156" s="36"/>
      <c r="DQ156" s="36"/>
      <c r="DR156" s="36"/>
      <c r="DS156" s="36"/>
      <c r="DT156" s="36"/>
      <c r="DU156" s="36"/>
      <c r="DV156" s="36"/>
      <c r="DW156" s="36"/>
      <c r="DX156" s="36"/>
      <c r="DY156" s="36"/>
    </row>
    <row r="157" spans="84:129" ht="9" customHeight="1" x14ac:dyDescent="0.2">
      <c r="CF157" s="36"/>
      <c r="CG157" s="36"/>
      <c r="CH157" s="36"/>
      <c r="CI157" s="36"/>
      <c r="CJ157" s="36"/>
      <c r="CK157" s="36"/>
      <c r="CL157" s="36"/>
      <c r="CM157" s="37"/>
      <c r="CN157" s="36"/>
      <c r="CO157" s="36"/>
      <c r="CP157" s="36"/>
      <c r="CQ157" s="36"/>
      <c r="CR157" s="36"/>
      <c r="CS157" s="36"/>
      <c r="CT157" s="36"/>
      <c r="CU157" s="36"/>
      <c r="CV157" s="36"/>
      <c r="CW157" s="36"/>
      <c r="CX157" s="36"/>
      <c r="CY157" s="36"/>
      <c r="CZ157" s="36"/>
      <c r="DA157" s="36"/>
      <c r="DB157" s="36"/>
      <c r="DC157" s="36"/>
      <c r="DD157" s="36"/>
      <c r="DE157" s="36"/>
      <c r="DF157" s="36"/>
      <c r="DG157" s="36"/>
      <c r="DH157" s="36"/>
      <c r="DI157" s="36"/>
      <c r="DJ157" s="36"/>
      <c r="DK157" s="36"/>
      <c r="DL157" s="36"/>
      <c r="DM157" s="36"/>
      <c r="DN157" s="36"/>
      <c r="DO157" s="36"/>
      <c r="DP157" s="36"/>
      <c r="DQ157" s="36"/>
      <c r="DR157" s="36"/>
      <c r="DS157" s="36"/>
      <c r="DT157" s="36"/>
      <c r="DU157" s="36"/>
      <c r="DV157" s="36"/>
      <c r="DW157" s="36"/>
      <c r="DX157" s="36"/>
      <c r="DY157" s="36"/>
    </row>
    <row r="158" spans="84:129" ht="9" customHeight="1" x14ac:dyDescent="0.2">
      <c r="CF158" s="36"/>
      <c r="CG158" s="36"/>
      <c r="CH158" s="36"/>
      <c r="CI158" s="36"/>
      <c r="CJ158" s="36"/>
      <c r="CK158" s="36"/>
      <c r="CL158" s="36"/>
      <c r="CM158" s="37"/>
      <c r="CN158" s="36"/>
      <c r="CO158" s="36"/>
      <c r="CP158" s="36"/>
      <c r="CQ158" s="36"/>
      <c r="CR158" s="36"/>
      <c r="CS158" s="36"/>
      <c r="CT158" s="36"/>
      <c r="CU158" s="36"/>
      <c r="CV158" s="36"/>
      <c r="CW158" s="36"/>
      <c r="CX158" s="36"/>
      <c r="CY158" s="36"/>
      <c r="CZ158" s="36"/>
      <c r="DA158" s="36"/>
      <c r="DB158" s="36"/>
      <c r="DC158" s="36"/>
      <c r="DD158" s="36"/>
      <c r="DE158" s="36"/>
      <c r="DF158" s="36"/>
      <c r="DG158" s="36"/>
      <c r="DH158" s="36"/>
      <c r="DI158" s="36"/>
      <c r="DJ158" s="36"/>
      <c r="DK158" s="36"/>
      <c r="DL158" s="36"/>
      <c r="DM158" s="36"/>
      <c r="DN158" s="36"/>
      <c r="DO158" s="36"/>
      <c r="DP158" s="36"/>
      <c r="DQ158" s="36"/>
      <c r="DR158" s="36"/>
      <c r="DS158" s="36"/>
      <c r="DT158" s="36"/>
      <c r="DU158" s="36"/>
      <c r="DV158" s="36"/>
      <c r="DW158" s="36"/>
      <c r="DX158" s="36"/>
      <c r="DY158" s="36"/>
    </row>
    <row r="159" spans="84:129" ht="9" customHeight="1" x14ac:dyDescent="0.2">
      <c r="CF159" s="36"/>
      <c r="CG159" s="36"/>
      <c r="CH159" s="36"/>
      <c r="CI159" s="36"/>
      <c r="CJ159" s="36"/>
      <c r="CK159" s="36"/>
      <c r="CL159" s="36"/>
      <c r="CM159" s="37"/>
      <c r="CN159" s="36"/>
      <c r="CO159" s="36"/>
      <c r="CP159" s="36"/>
      <c r="CQ159" s="36"/>
      <c r="CR159" s="36"/>
      <c r="CS159" s="36"/>
      <c r="CT159" s="36"/>
      <c r="CU159" s="36"/>
      <c r="CV159" s="36"/>
      <c r="CW159" s="36"/>
      <c r="CX159" s="36"/>
      <c r="CY159" s="36"/>
      <c r="CZ159" s="36"/>
      <c r="DA159" s="36"/>
      <c r="DB159" s="36"/>
      <c r="DC159" s="36"/>
      <c r="DD159" s="36"/>
      <c r="DE159" s="36"/>
      <c r="DF159" s="36"/>
      <c r="DG159" s="36"/>
      <c r="DH159" s="36"/>
      <c r="DI159" s="36"/>
      <c r="DJ159" s="36"/>
      <c r="DK159" s="36"/>
      <c r="DL159" s="36"/>
      <c r="DM159" s="36"/>
      <c r="DN159" s="36"/>
      <c r="DO159" s="36"/>
      <c r="DP159" s="36"/>
      <c r="DQ159" s="36"/>
      <c r="DR159" s="36"/>
      <c r="DS159" s="36"/>
      <c r="DT159" s="36"/>
      <c r="DU159" s="36"/>
      <c r="DV159" s="36"/>
      <c r="DW159" s="36"/>
      <c r="DX159" s="36"/>
      <c r="DY159" s="36"/>
    </row>
    <row r="160" spans="84:129" ht="9" customHeight="1" x14ac:dyDescent="0.2">
      <c r="CF160" s="36"/>
      <c r="CG160" s="36"/>
      <c r="CH160" s="36"/>
      <c r="CI160" s="36"/>
      <c r="CJ160" s="36"/>
      <c r="CK160" s="36"/>
      <c r="CL160" s="36"/>
      <c r="CM160" s="37"/>
      <c r="CN160" s="36"/>
      <c r="CO160" s="36"/>
      <c r="CP160" s="36"/>
      <c r="CQ160" s="36"/>
      <c r="CR160" s="36"/>
      <c r="CS160" s="36"/>
      <c r="CT160" s="36"/>
      <c r="CU160" s="36"/>
      <c r="CV160" s="36"/>
      <c r="CW160" s="36"/>
      <c r="CX160" s="36"/>
      <c r="CY160" s="36"/>
      <c r="CZ160" s="36"/>
      <c r="DA160" s="36"/>
      <c r="DB160" s="36"/>
      <c r="DC160" s="36"/>
      <c r="DD160" s="36"/>
      <c r="DE160" s="36"/>
      <c r="DF160" s="36"/>
      <c r="DG160" s="36"/>
      <c r="DH160" s="36"/>
      <c r="DI160" s="36"/>
      <c r="DJ160" s="36"/>
      <c r="DK160" s="36"/>
      <c r="DL160" s="36"/>
      <c r="DM160" s="36"/>
      <c r="DN160" s="36"/>
      <c r="DO160" s="36"/>
      <c r="DP160" s="36"/>
      <c r="DQ160" s="36"/>
      <c r="DR160" s="36"/>
      <c r="DS160" s="36"/>
      <c r="DT160" s="36"/>
      <c r="DU160" s="36"/>
      <c r="DV160" s="36"/>
      <c r="DW160" s="36"/>
      <c r="DX160" s="36"/>
      <c r="DY160" s="36"/>
    </row>
    <row r="161" spans="84:129" ht="9" customHeight="1" x14ac:dyDescent="0.2">
      <c r="CF161" s="36"/>
      <c r="CG161" s="36"/>
      <c r="CH161" s="36"/>
      <c r="CI161" s="36"/>
      <c r="CJ161" s="36"/>
      <c r="CK161" s="36"/>
      <c r="CL161" s="36"/>
      <c r="CM161" s="37"/>
      <c r="CN161" s="36"/>
      <c r="CO161" s="36"/>
      <c r="CP161" s="36"/>
      <c r="CQ161" s="36"/>
      <c r="CR161" s="36"/>
      <c r="CS161" s="36"/>
      <c r="CT161" s="36"/>
      <c r="CU161" s="36"/>
      <c r="CV161" s="36"/>
      <c r="CW161" s="36"/>
      <c r="CX161" s="36"/>
      <c r="CY161" s="36"/>
      <c r="CZ161" s="36"/>
      <c r="DA161" s="36"/>
      <c r="DB161" s="36"/>
      <c r="DC161" s="36"/>
      <c r="DD161" s="36"/>
      <c r="DE161" s="36"/>
      <c r="DF161" s="36"/>
      <c r="DG161" s="36"/>
      <c r="DH161" s="36"/>
      <c r="DI161" s="36"/>
      <c r="DJ161" s="36"/>
      <c r="DK161" s="36"/>
      <c r="DL161" s="36"/>
      <c r="DM161" s="36"/>
      <c r="DN161" s="36"/>
      <c r="DO161" s="36"/>
      <c r="DP161" s="36"/>
      <c r="DQ161" s="36"/>
      <c r="DR161" s="36"/>
      <c r="DS161" s="36"/>
      <c r="DT161" s="36"/>
      <c r="DU161" s="36"/>
      <c r="DV161" s="36"/>
      <c r="DW161" s="36"/>
      <c r="DX161" s="36"/>
      <c r="DY161" s="36"/>
    </row>
    <row r="162" spans="84:129" ht="9" customHeight="1" x14ac:dyDescent="0.2">
      <c r="CF162" s="36"/>
      <c r="CG162" s="36"/>
      <c r="CH162" s="36"/>
      <c r="CI162" s="36"/>
      <c r="CJ162" s="36"/>
      <c r="CK162" s="36"/>
      <c r="CL162" s="36"/>
      <c r="CM162" s="37"/>
      <c r="CN162" s="36"/>
      <c r="CO162" s="36"/>
      <c r="CP162" s="36"/>
      <c r="CQ162" s="36"/>
      <c r="CR162" s="36"/>
      <c r="CS162" s="36"/>
      <c r="CT162" s="36"/>
      <c r="CU162" s="36"/>
      <c r="CV162" s="36"/>
      <c r="CW162" s="36"/>
      <c r="CX162" s="36"/>
      <c r="CY162" s="36"/>
      <c r="CZ162" s="36"/>
      <c r="DA162" s="36"/>
      <c r="DB162" s="36"/>
      <c r="DC162" s="36"/>
      <c r="DD162" s="36"/>
      <c r="DE162" s="36"/>
      <c r="DF162" s="36"/>
      <c r="DG162" s="36"/>
      <c r="DH162" s="36"/>
      <c r="DI162" s="36"/>
      <c r="DJ162" s="36"/>
      <c r="DK162" s="36"/>
      <c r="DL162" s="36"/>
      <c r="DM162" s="36"/>
      <c r="DN162" s="36"/>
      <c r="DO162" s="36"/>
      <c r="DP162" s="36"/>
      <c r="DQ162" s="36"/>
      <c r="DR162" s="36"/>
      <c r="DS162" s="36"/>
      <c r="DT162" s="36"/>
      <c r="DU162" s="36"/>
      <c r="DV162" s="36"/>
      <c r="DW162" s="36"/>
      <c r="DX162" s="36"/>
      <c r="DY162" s="36"/>
    </row>
    <row r="163" spans="84:129" ht="9" customHeight="1" x14ac:dyDescent="0.2">
      <c r="CF163" s="36"/>
      <c r="CG163" s="36"/>
      <c r="CH163" s="36"/>
      <c r="CI163" s="36"/>
      <c r="CJ163" s="36"/>
      <c r="CK163" s="36"/>
      <c r="CL163" s="36"/>
      <c r="CM163" s="37"/>
      <c r="CN163" s="36"/>
      <c r="CO163" s="36"/>
      <c r="CP163" s="36"/>
      <c r="CQ163" s="36"/>
      <c r="CR163" s="36"/>
      <c r="CS163" s="36"/>
      <c r="CT163" s="36"/>
      <c r="CU163" s="36"/>
      <c r="CV163" s="36"/>
      <c r="CW163" s="36"/>
      <c r="CX163" s="36"/>
      <c r="CY163" s="36"/>
      <c r="CZ163" s="36"/>
      <c r="DA163" s="36"/>
      <c r="DB163" s="36"/>
      <c r="DC163" s="36"/>
      <c r="DD163" s="36"/>
      <c r="DE163" s="36"/>
      <c r="DF163" s="36"/>
      <c r="DG163" s="36"/>
      <c r="DH163" s="36"/>
      <c r="DI163" s="36"/>
      <c r="DJ163" s="36"/>
      <c r="DK163" s="36"/>
      <c r="DL163" s="36"/>
      <c r="DM163" s="36"/>
      <c r="DN163" s="36"/>
      <c r="DO163" s="36"/>
      <c r="DP163" s="36"/>
      <c r="DQ163" s="36"/>
      <c r="DR163" s="36"/>
      <c r="DS163" s="36"/>
      <c r="DT163" s="36"/>
      <c r="DU163" s="36"/>
      <c r="DV163" s="36"/>
      <c r="DW163" s="36"/>
      <c r="DX163" s="36"/>
      <c r="DY163" s="36"/>
    </row>
    <row r="164" spans="84:129" ht="9" customHeight="1" x14ac:dyDescent="0.2">
      <c r="CF164" s="36"/>
      <c r="CG164" s="36"/>
      <c r="CH164" s="36"/>
      <c r="CI164" s="36"/>
      <c r="CJ164" s="36"/>
      <c r="CK164" s="36"/>
      <c r="CL164" s="36"/>
      <c r="CM164" s="37"/>
      <c r="CN164" s="36"/>
      <c r="CO164" s="36"/>
      <c r="CP164" s="36"/>
      <c r="CQ164" s="36"/>
      <c r="CR164" s="36"/>
      <c r="CS164" s="36"/>
      <c r="CT164" s="36"/>
      <c r="CU164" s="36"/>
      <c r="CV164" s="36"/>
      <c r="CW164" s="36"/>
      <c r="CX164" s="36"/>
      <c r="CY164" s="36"/>
      <c r="CZ164" s="36"/>
      <c r="DA164" s="36"/>
      <c r="DB164" s="36"/>
      <c r="DC164" s="36"/>
      <c r="DD164" s="36"/>
      <c r="DE164" s="36"/>
      <c r="DF164" s="36"/>
      <c r="DG164" s="36"/>
      <c r="DH164" s="36"/>
      <c r="DI164" s="36"/>
      <c r="DJ164" s="36"/>
      <c r="DK164" s="36"/>
      <c r="DL164" s="36"/>
      <c r="DM164" s="36"/>
      <c r="DN164" s="36"/>
      <c r="DO164" s="36"/>
      <c r="DP164" s="36"/>
      <c r="DQ164" s="36"/>
      <c r="DR164" s="36"/>
      <c r="DS164" s="36"/>
      <c r="DT164" s="36"/>
      <c r="DU164" s="36"/>
      <c r="DV164" s="36"/>
      <c r="DW164" s="36"/>
      <c r="DX164" s="36"/>
      <c r="DY164" s="36"/>
    </row>
    <row r="165" spans="84:129" ht="9" customHeight="1" x14ac:dyDescent="0.2">
      <c r="CF165" s="36"/>
      <c r="CG165" s="36"/>
      <c r="CH165" s="36"/>
      <c r="CI165" s="36"/>
      <c r="CJ165" s="36"/>
      <c r="CK165" s="36"/>
      <c r="CL165" s="36"/>
      <c r="CM165" s="37"/>
      <c r="CN165" s="36"/>
      <c r="CO165" s="36"/>
      <c r="CP165" s="36"/>
      <c r="CQ165" s="36"/>
      <c r="CR165" s="36"/>
      <c r="CS165" s="36"/>
      <c r="CT165" s="36"/>
      <c r="CU165" s="36"/>
      <c r="CV165" s="36"/>
      <c r="CW165" s="36"/>
      <c r="CX165" s="36"/>
      <c r="CY165" s="36"/>
      <c r="CZ165" s="36"/>
      <c r="DA165" s="36"/>
      <c r="DB165" s="36"/>
      <c r="DC165" s="36"/>
      <c r="DD165" s="36"/>
      <c r="DE165" s="36"/>
      <c r="DF165" s="36"/>
      <c r="DG165" s="36"/>
      <c r="DH165" s="36"/>
      <c r="DI165" s="36"/>
      <c r="DJ165" s="36"/>
      <c r="DK165" s="36"/>
      <c r="DL165" s="36"/>
      <c r="DM165" s="36"/>
      <c r="DN165" s="36"/>
      <c r="DO165" s="36"/>
      <c r="DP165" s="36"/>
      <c r="DQ165" s="36"/>
      <c r="DR165" s="36"/>
      <c r="DS165" s="36"/>
      <c r="DT165" s="36"/>
      <c r="DU165" s="36"/>
      <c r="DV165" s="36"/>
      <c r="DW165" s="36"/>
      <c r="DX165" s="36"/>
      <c r="DY165" s="36"/>
    </row>
    <row r="166" spans="84:129" ht="9" customHeight="1" x14ac:dyDescent="0.2">
      <c r="CF166" s="36"/>
      <c r="CG166" s="36"/>
      <c r="CH166" s="36"/>
      <c r="CI166" s="36"/>
      <c r="CJ166" s="36"/>
      <c r="CK166" s="36"/>
      <c r="CL166" s="36"/>
      <c r="CM166" s="37"/>
      <c r="CN166" s="36"/>
      <c r="CO166" s="36"/>
      <c r="CP166" s="36"/>
      <c r="CQ166" s="36"/>
      <c r="CR166" s="36"/>
      <c r="CS166" s="36"/>
      <c r="CT166" s="36"/>
      <c r="CU166" s="36"/>
      <c r="CV166" s="36"/>
      <c r="CW166" s="36"/>
      <c r="CX166" s="36"/>
      <c r="CY166" s="36"/>
      <c r="CZ166" s="36"/>
      <c r="DA166" s="36"/>
      <c r="DB166" s="36"/>
      <c r="DC166" s="36"/>
      <c r="DD166" s="36"/>
      <c r="DE166" s="36"/>
      <c r="DF166" s="36"/>
      <c r="DG166" s="36"/>
      <c r="DH166" s="36"/>
      <c r="DI166" s="36"/>
      <c r="DJ166" s="36"/>
      <c r="DK166" s="36"/>
      <c r="DL166" s="36"/>
      <c r="DM166" s="36"/>
      <c r="DN166" s="36"/>
      <c r="DO166" s="36"/>
      <c r="DP166" s="36"/>
      <c r="DQ166" s="36"/>
      <c r="DR166" s="36"/>
      <c r="DS166" s="36"/>
      <c r="DT166" s="36"/>
      <c r="DU166" s="36"/>
      <c r="DV166" s="36"/>
      <c r="DW166" s="36"/>
      <c r="DX166" s="36"/>
      <c r="DY166" s="36"/>
    </row>
    <row r="167" spans="84:129" ht="9" customHeight="1" x14ac:dyDescent="0.2">
      <c r="CF167" s="36"/>
      <c r="CG167" s="36"/>
      <c r="CH167" s="36"/>
      <c r="CI167" s="36"/>
      <c r="CJ167" s="36"/>
      <c r="CK167" s="36"/>
      <c r="CL167" s="36"/>
      <c r="CM167" s="37"/>
      <c r="CN167" s="36"/>
      <c r="CO167" s="36"/>
      <c r="CP167" s="36"/>
      <c r="CQ167" s="36"/>
      <c r="CR167" s="36"/>
      <c r="CS167" s="36"/>
      <c r="CT167" s="36"/>
      <c r="CU167" s="36"/>
      <c r="CV167" s="36"/>
      <c r="CW167" s="36"/>
      <c r="CX167" s="36"/>
      <c r="CY167" s="36"/>
      <c r="CZ167" s="36"/>
      <c r="DA167" s="36"/>
      <c r="DB167" s="36"/>
      <c r="DC167" s="36"/>
      <c r="DD167" s="36"/>
      <c r="DE167" s="36"/>
      <c r="DF167" s="36"/>
      <c r="DG167" s="36"/>
      <c r="DH167" s="36"/>
      <c r="DI167" s="36"/>
      <c r="DJ167" s="36"/>
      <c r="DK167" s="36"/>
      <c r="DL167" s="36"/>
      <c r="DM167" s="36"/>
      <c r="DN167" s="36"/>
      <c r="DO167" s="36"/>
      <c r="DP167" s="36"/>
      <c r="DQ167" s="36"/>
      <c r="DR167" s="36"/>
      <c r="DS167" s="36"/>
      <c r="DT167" s="36"/>
      <c r="DU167" s="36"/>
      <c r="DV167" s="36"/>
      <c r="DW167" s="36"/>
      <c r="DX167" s="36"/>
      <c r="DY167" s="36"/>
    </row>
    <row r="168" spans="84:129" ht="9" customHeight="1" x14ac:dyDescent="0.2">
      <c r="CF168" s="36"/>
      <c r="CG168" s="36"/>
      <c r="CH168" s="36"/>
      <c r="CI168" s="36"/>
      <c r="CJ168" s="36"/>
      <c r="CK168" s="36"/>
      <c r="CL168" s="36"/>
      <c r="CM168" s="37"/>
      <c r="CN168" s="36"/>
      <c r="CO168" s="36"/>
      <c r="CP168" s="36"/>
      <c r="CQ168" s="36"/>
      <c r="CR168" s="36"/>
      <c r="CS168" s="36"/>
      <c r="CT168" s="36"/>
      <c r="CU168" s="36"/>
      <c r="CV168" s="36"/>
      <c r="CW168" s="36"/>
      <c r="CX168" s="36"/>
      <c r="CY168" s="36"/>
      <c r="CZ168" s="36"/>
      <c r="DA168" s="36"/>
      <c r="DB168" s="36"/>
      <c r="DC168" s="36"/>
      <c r="DD168" s="36"/>
      <c r="DE168" s="36"/>
      <c r="DF168" s="36"/>
      <c r="DG168" s="36"/>
      <c r="DH168" s="36"/>
      <c r="DI168" s="36"/>
      <c r="DJ168" s="36"/>
      <c r="DK168" s="36"/>
      <c r="DL168" s="36"/>
      <c r="DM168" s="36"/>
      <c r="DN168" s="36"/>
      <c r="DO168" s="36"/>
      <c r="DP168" s="36"/>
      <c r="DQ168" s="36"/>
      <c r="DR168" s="36"/>
      <c r="DS168" s="36"/>
      <c r="DT168" s="36"/>
      <c r="DU168" s="36"/>
      <c r="DV168" s="36"/>
      <c r="DW168" s="36"/>
      <c r="DX168" s="36"/>
      <c r="DY168" s="36"/>
    </row>
    <row r="169" spans="84:129" ht="9" customHeight="1" x14ac:dyDescent="0.2">
      <c r="CF169" s="36"/>
      <c r="CG169" s="36"/>
      <c r="CH169" s="36"/>
      <c r="CI169" s="36"/>
      <c r="CJ169" s="36"/>
      <c r="CK169" s="36"/>
      <c r="CL169" s="36"/>
      <c r="CM169" s="37"/>
      <c r="CN169" s="36"/>
      <c r="CO169" s="36"/>
      <c r="CP169" s="36"/>
      <c r="CQ169" s="36"/>
      <c r="CR169" s="36"/>
      <c r="CS169" s="36"/>
      <c r="CT169" s="36"/>
      <c r="CU169" s="36"/>
      <c r="CV169" s="36"/>
      <c r="CW169" s="36"/>
      <c r="CX169" s="36"/>
      <c r="CY169" s="36"/>
      <c r="CZ169" s="36"/>
      <c r="DA169" s="36"/>
      <c r="DB169" s="36"/>
      <c r="DC169" s="36"/>
      <c r="DD169" s="36"/>
      <c r="DE169" s="36"/>
      <c r="DF169" s="36"/>
      <c r="DG169" s="36"/>
      <c r="DH169" s="36"/>
      <c r="DI169" s="36"/>
      <c r="DJ169" s="36"/>
      <c r="DK169" s="36"/>
      <c r="DL169" s="36"/>
      <c r="DM169" s="36"/>
      <c r="DN169" s="36"/>
      <c r="DO169" s="36"/>
      <c r="DP169" s="36"/>
      <c r="DQ169" s="36"/>
      <c r="DR169" s="36"/>
      <c r="DS169" s="36"/>
      <c r="DT169" s="36"/>
      <c r="DU169" s="36"/>
      <c r="DV169" s="36"/>
      <c r="DW169" s="36"/>
      <c r="DX169" s="36"/>
      <c r="DY169" s="36"/>
    </row>
    <row r="170" spans="84:129" ht="9" customHeight="1" x14ac:dyDescent="0.2">
      <c r="CF170" s="36"/>
      <c r="CG170" s="36"/>
      <c r="CH170" s="36"/>
      <c r="CI170" s="36"/>
      <c r="CJ170" s="36"/>
      <c r="CK170" s="36"/>
      <c r="CL170" s="36"/>
      <c r="CM170" s="37"/>
      <c r="CN170" s="36"/>
      <c r="CO170" s="36"/>
      <c r="CP170" s="36"/>
      <c r="CQ170" s="36"/>
      <c r="CR170" s="36"/>
      <c r="CS170" s="36"/>
      <c r="CT170" s="36"/>
      <c r="CU170" s="36"/>
      <c r="CV170" s="36"/>
      <c r="CW170" s="36"/>
      <c r="CX170" s="36"/>
      <c r="CY170" s="36"/>
      <c r="CZ170" s="36"/>
      <c r="DA170" s="36"/>
      <c r="DB170" s="36"/>
      <c r="DC170" s="36"/>
      <c r="DD170" s="36"/>
      <c r="DE170" s="36"/>
      <c r="DF170" s="36"/>
      <c r="DG170" s="36"/>
      <c r="DH170" s="36"/>
      <c r="DI170" s="36"/>
      <c r="DJ170" s="36"/>
      <c r="DK170" s="36"/>
      <c r="DL170" s="36"/>
      <c r="DM170" s="36"/>
      <c r="DN170" s="36"/>
      <c r="DO170" s="36"/>
      <c r="DP170" s="36"/>
      <c r="DQ170" s="36"/>
      <c r="DR170" s="36"/>
      <c r="DS170" s="36"/>
      <c r="DT170" s="36"/>
      <c r="DU170" s="36"/>
      <c r="DV170" s="36"/>
      <c r="DW170" s="36"/>
      <c r="DX170" s="36"/>
      <c r="DY170" s="36"/>
    </row>
    <row r="171" spans="84:129" ht="9" customHeight="1" x14ac:dyDescent="0.2">
      <c r="CF171" s="36"/>
      <c r="CG171" s="36"/>
      <c r="CH171" s="36"/>
      <c r="CI171" s="36"/>
      <c r="CJ171" s="36"/>
      <c r="CK171" s="36"/>
      <c r="CL171" s="36"/>
      <c r="CM171" s="37"/>
      <c r="CN171" s="36"/>
      <c r="CO171" s="36"/>
      <c r="CP171" s="36"/>
      <c r="CQ171" s="36"/>
      <c r="CR171" s="36"/>
      <c r="CS171" s="36"/>
      <c r="CT171" s="36"/>
      <c r="CU171" s="36"/>
      <c r="CV171" s="36"/>
      <c r="CW171" s="36"/>
      <c r="CX171" s="36"/>
      <c r="CY171" s="36"/>
      <c r="CZ171" s="36"/>
      <c r="DA171" s="36"/>
      <c r="DB171" s="36"/>
      <c r="DC171" s="36"/>
      <c r="DD171" s="36"/>
      <c r="DE171" s="36"/>
      <c r="DF171" s="36"/>
      <c r="DG171" s="36"/>
      <c r="DH171" s="36"/>
      <c r="DI171" s="36"/>
      <c r="DJ171" s="36"/>
      <c r="DK171" s="36"/>
      <c r="DL171" s="36"/>
      <c r="DM171" s="36"/>
      <c r="DN171" s="36"/>
      <c r="DO171" s="36"/>
      <c r="DP171" s="36"/>
      <c r="DQ171" s="36"/>
      <c r="DR171" s="36"/>
      <c r="DS171" s="36"/>
      <c r="DT171" s="36"/>
      <c r="DU171" s="36"/>
      <c r="DV171" s="36"/>
      <c r="DW171" s="36"/>
      <c r="DX171" s="36"/>
      <c r="DY171" s="36"/>
    </row>
    <row r="172" spans="84:129" ht="9" customHeight="1" x14ac:dyDescent="0.2">
      <c r="CF172" s="36"/>
      <c r="CG172" s="36"/>
      <c r="CH172" s="36"/>
      <c r="CI172" s="36"/>
      <c r="CJ172" s="36"/>
      <c r="CK172" s="36"/>
      <c r="CL172" s="36"/>
      <c r="CM172" s="37"/>
      <c r="CN172" s="36"/>
      <c r="CO172" s="36"/>
      <c r="CP172" s="36"/>
      <c r="CQ172" s="36"/>
      <c r="CR172" s="36"/>
      <c r="CS172" s="36"/>
      <c r="CT172" s="36"/>
      <c r="CU172" s="36"/>
      <c r="CV172" s="36"/>
      <c r="CW172" s="36"/>
      <c r="CX172" s="36"/>
      <c r="CY172" s="36"/>
      <c r="CZ172" s="36"/>
      <c r="DA172" s="36"/>
      <c r="DB172" s="36"/>
      <c r="DC172" s="36"/>
      <c r="DD172" s="36"/>
      <c r="DE172" s="36"/>
      <c r="DF172" s="36"/>
      <c r="DG172" s="36"/>
      <c r="DH172" s="36"/>
      <c r="DI172" s="36"/>
      <c r="DJ172" s="36"/>
      <c r="DK172" s="36"/>
      <c r="DL172" s="36"/>
      <c r="DM172" s="36"/>
      <c r="DN172" s="36"/>
      <c r="DO172" s="36"/>
      <c r="DP172" s="36"/>
      <c r="DQ172" s="36"/>
      <c r="DR172" s="36"/>
      <c r="DS172" s="36"/>
      <c r="DT172" s="36"/>
      <c r="DU172" s="36"/>
      <c r="DV172" s="36"/>
      <c r="DW172" s="36"/>
      <c r="DX172" s="36"/>
      <c r="DY172" s="36"/>
    </row>
    <row r="173" spans="84:129" ht="9" customHeight="1" x14ac:dyDescent="0.2">
      <c r="CF173" s="36"/>
      <c r="CG173" s="36"/>
      <c r="CH173" s="36"/>
      <c r="CI173" s="36"/>
      <c r="CJ173" s="36"/>
      <c r="CK173" s="36"/>
      <c r="CL173" s="36"/>
      <c r="CM173" s="37"/>
      <c r="CN173" s="36"/>
      <c r="CO173" s="36"/>
      <c r="CP173" s="36"/>
      <c r="CQ173" s="36"/>
      <c r="CR173" s="36"/>
      <c r="CS173" s="36"/>
      <c r="CT173" s="36"/>
      <c r="CU173" s="36"/>
      <c r="CV173" s="36"/>
      <c r="CW173" s="36"/>
      <c r="CX173" s="36"/>
      <c r="CY173" s="36"/>
      <c r="CZ173" s="36"/>
      <c r="DA173" s="36"/>
      <c r="DB173" s="36"/>
      <c r="DC173" s="36"/>
      <c r="DD173" s="36"/>
      <c r="DE173" s="36"/>
      <c r="DF173" s="36"/>
      <c r="DG173" s="36"/>
      <c r="DH173" s="36"/>
      <c r="DI173" s="36"/>
      <c r="DJ173" s="36"/>
      <c r="DK173" s="36"/>
      <c r="DL173" s="36"/>
      <c r="DM173" s="36"/>
      <c r="DN173" s="36"/>
      <c r="DO173" s="36"/>
      <c r="DP173" s="36"/>
      <c r="DQ173" s="36"/>
      <c r="DR173" s="36"/>
      <c r="DS173" s="36"/>
      <c r="DT173" s="36"/>
      <c r="DU173" s="36"/>
      <c r="DV173" s="36"/>
      <c r="DW173" s="36"/>
      <c r="DX173" s="36"/>
      <c r="DY173" s="36"/>
    </row>
    <row r="174" spans="84:129" ht="9" customHeight="1" x14ac:dyDescent="0.2">
      <c r="CF174" s="36"/>
      <c r="CG174" s="36"/>
      <c r="CH174" s="36"/>
      <c r="CI174" s="36"/>
      <c r="CJ174" s="36"/>
      <c r="CK174" s="36"/>
      <c r="CL174" s="36"/>
      <c r="CM174" s="37"/>
      <c r="CN174" s="36"/>
      <c r="CO174" s="36"/>
      <c r="CP174" s="36"/>
      <c r="CQ174" s="36"/>
      <c r="CR174" s="36"/>
      <c r="CS174" s="36"/>
      <c r="CT174" s="36"/>
      <c r="CU174" s="36"/>
      <c r="CV174" s="36"/>
      <c r="CW174" s="36"/>
      <c r="CX174" s="36"/>
      <c r="CY174" s="36"/>
      <c r="CZ174" s="36"/>
      <c r="DA174" s="36"/>
      <c r="DB174" s="36"/>
      <c r="DC174" s="36"/>
      <c r="DD174" s="36"/>
      <c r="DE174" s="36"/>
      <c r="DF174" s="36"/>
      <c r="DG174" s="36"/>
      <c r="DH174" s="36"/>
      <c r="DI174" s="36"/>
      <c r="DJ174" s="36"/>
      <c r="DK174" s="36"/>
      <c r="DL174" s="36"/>
      <c r="DM174" s="36"/>
      <c r="DN174" s="36"/>
      <c r="DO174" s="36"/>
      <c r="DP174" s="36"/>
      <c r="DQ174" s="36"/>
      <c r="DR174" s="36"/>
      <c r="DS174" s="36"/>
      <c r="DT174" s="36"/>
      <c r="DU174" s="36"/>
      <c r="DV174" s="36"/>
      <c r="DW174" s="36"/>
      <c r="DX174" s="36"/>
      <c r="DY174" s="36"/>
    </row>
    <row r="175" spans="84:129" ht="9" customHeight="1" x14ac:dyDescent="0.2">
      <c r="CF175" s="36"/>
      <c r="CG175" s="36"/>
      <c r="CH175" s="36"/>
      <c r="CI175" s="36"/>
      <c r="CJ175" s="36"/>
      <c r="CK175" s="36"/>
      <c r="CL175" s="36"/>
      <c r="CM175" s="37"/>
      <c r="CN175" s="36"/>
      <c r="CO175" s="36"/>
      <c r="CP175" s="36"/>
      <c r="CQ175" s="36"/>
      <c r="CR175" s="36"/>
      <c r="CS175" s="36"/>
      <c r="CT175" s="36"/>
      <c r="CU175" s="36"/>
      <c r="CV175" s="36"/>
      <c r="CW175" s="36"/>
      <c r="CX175" s="36"/>
      <c r="CY175" s="36"/>
      <c r="CZ175" s="36"/>
      <c r="DA175" s="36"/>
      <c r="DB175" s="36"/>
      <c r="DC175" s="36"/>
      <c r="DD175" s="36"/>
      <c r="DE175" s="36"/>
      <c r="DF175" s="36"/>
      <c r="DG175" s="36"/>
      <c r="DH175" s="36"/>
      <c r="DI175" s="36"/>
      <c r="DJ175" s="36"/>
      <c r="DK175" s="36"/>
      <c r="DL175" s="36"/>
      <c r="DM175" s="36"/>
      <c r="DN175" s="36"/>
      <c r="DO175" s="36"/>
      <c r="DP175" s="36"/>
      <c r="DQ175" s="36"/>
      <c r="DR175" s="36"/>
      <c r="DS175" s="36"/>
      <c r="DT175" s="36"/>
      <c r="DU175" s="36"/>
      <c r="DV175" s="36"/>
      <c r="DW175" s="36"/>
      <c r="DX175" s="36"/>
      <c r="DY175" s="36"/>
    </row>
    <row r="176" spans="84:129" ht="9" customHeight="1" x14ac:dyDescent="0.2">
      <c r="CF176" s="36"/>
      <c r="CG176" s="36"/>
      <c r="CH176" s="36"/>
      <c r="CI176" s="36"/>
      <c r="CJ176" s="36"/>
      <c r="CK176" s="36"/>
      <c r="CL176" s="36"/>
      <c r="CM176" s="37"/>
      <c r="CN176" s="36"/>
      <c r="CO176" s="36"/>
      <c r="CP176" s="36"/>
      <c r="CQ176" s="36"/>
      <c r="CR176" s="36"/>
      <c r="CS176" s="36"/>
      <c r="CT176" s="36"/>
      <c r="CU176" s="36"/>
      <c r="CV176" s="36"/>
      <c r="CW176" s="36"/>
      <c r="CX176" s="36"/>
      <c r="CY176" s="36"/>
      <c r="CZ176" s="36"/>
      <c r="DA176" s="36"/>
      <c r="DB176" s="36"/>
      <c r="DC176" s="36"/>
      <c r="DD176" s="36"/>
      <c r="DE176" s="36"/>
      <c r="DF176" s="36"/>
      <c r="DG176" s="36"/>
      <c r="DH176" s="36"/>
      <c r="DI176" s="36"/>
      <c r="DJ176" s="36"/>
      <c r="DK176" s="36"/>
      <c r="DL176" s="36"/>
      <c r="DM176" s="36"/>
      <c r="DN176" s="36"/>
      <c r="DO176" s="36"/>
      <c r="DP176" s="36"/>
      <c r="DQ176" s="36"/>
      <c r="DR176" s="36"/>
      <c r="DS176" s="36"/>
      <c r="DT176" s="36"/>
      <c r="DU176" s="36"/>
      <c r="DV176" s="36"/>
      <c r="DW176" s="36"/>
      <c r="DX176" s="36"/>
      <c r="DY176" s="36"/>
    </row>
    <row r="177" spans="84:129" ht="9" customHeight="1" x14ac:dyDescent="0.2">
      <c r="CF177" s="36"/>
      <c r="CG177" s="36"/>
      <c r="CH177" s="36"/>
      <c r="CI177" s="36"/>
      <c r="CJ177" s="36"/>
      <c r="CK177" s="36"/>
      <c r="CL177" s="36"/>
      <c r="CM177" s="37"/>
      <c r="CN177" s="36"/>
      <c r="CO177" s="36"/>
      <c r="CP177" s="36"/>
      <c r="CQ177" s="36"/>
      <c r="CR177" s="36"/>
      <c r="CS177" s="36"/>
      <c r="CT177" s="36"/>
      <c r="CU177" s="36"/>
      <c r="CV177" s="36"/>
      <c r="CW177" s="36"/>
      <c r="CX177" s="36"/>
      <c r="CY177" s="36"/>
      <c r="CZ177" s="36"/>
      <c r="DA177" s="36"/>
      <c r="DB177" s="36"/>
      <c r="DC177" s="36"/>
      <c r="DD177" s="36"/>
      <c r="DE177" s="36"/>
      <c r="DF177" s="36"/>
      <c r="DG177" s="36"/>
      <c r="DH177" s="36"/>
      <c r="DI177" s="36"/>
      <c r="DJ177" s="36"/>
      <c r="DK177" s="36"/>
      <c r="DL177" s="36"/>
      <c r="DM177" s="36"/>
      <c r="DN177" s="36"/>
      <c r="DO177" s="36"/>
      <c r="DP177" s="36"/>
      <c r="DQ177" s="36"/>
      <c r="DR177" s="36"/>
      <c r="DS177" s="36"/>
      <c r="DT177" s="36"/>
      <c r="DU177" s="36"/>
      <c r="DV177" s="36"/>
      <c r="DW177" s="36"/>
      <c r="DX177" s="36"/>
      <c r="DY177" s="36"/>
    </row>
    <row r="178" spans="84:129" ht="9" customHeight="1" x14ac:dyDescent="0.2">
      <c r="CF178" s="36"/>
      <c r="CG178" s="36"/>
      <c r="CH178" s="36"/>
      <c r="CI178" s="36"/>
      <c r="CJ178" s="36"/>
      <c r="CK178" s="36"/>
      <c r="CL178" s="36"/>
      <c r="CM178" s="37"/>
      <c r="CN178" s="36"/>
      <c r="CO178" s="36"/>
      <c r="CP178" s="36"/>
      <c r="CQ178" s="36"/>
      <c r="CR178" s="36"/>
      <c r="CS178" s="36"/>
      <c r="CT178" s="36"/>
      <c r="CU178" s="36"/>
      <c r="CV178" s="36"/>
      <c r="CW178" s="36"/>
      <c r="CX178" s="36"/>
      <c r="CY178" s="36"/>
      <c r="CZ178" s="36"/>
      <c r="DA178" s="36"/>
      <c r="DB178" s="36"/>
      <c r="DC178" s="36"/>
      <c r="DD178" s="36"/>
      <c r="DE178" s="36"/>
      <c r="DF178" s="36"/>
      <c r="DG178" s="36"/>
      <c r="DH178" s="36"/>
      <c r="DI178" s="36"/>
      <c r="DJ178" s="36"/>
      <c r="DK178" s="36"/>
      <c r="DL178" s="36"/>
      <c r="DM178" s="36"/>
      <c r="DN178" s="36"/>
      <c r="DO178" s="36"/>
      <c r="DP178" s="36"/>
      <c r="DQ178" s="36"/>
      <c r="DR178" s="36"/>
      <c r="DS178" s="36"/>
      <c r="DT178" s="36"/>
      <c r="DU178" s="36"/>
      <c r="DV178" s="36"/>
      <c r="DW178" s="36"/>
      <c r="DX178" s="36"/>
      <c r="DY178" s="36"/>
    </row>
    <row r="179" spans="84:129" ht="9" customHeight="1" x14ac:dyDescent="0.2">
      <c r="CF179" s="36"/>
      <c r="CG179" s="36"/>
      <c r="CH179" s="36"/>
      <c r="CI179" s="36"/>
      <c r="CJ179" s="36"/>
      <c r="CK179" s="36"/>
      <c r="CL179" s="36"/>
      <c r="CM179" s="37"/>
      <c r="CN179" s="36"/>
      <c r="CO179" s="36"/>
      <c r="CP179" s="36"/>
      <c r="CQ179" s="36"/>
      <c r="CR179" s="36"/>
      <c r="CS179" s="36"/>
      <c r="CT179" s="36"/>
      <c r="CU179" s="36"/>
      <c r="CV179" s="36"/>
      <c r="CW179" s="36"/>
      <c r="CX179" s="36"/>
      <c r="CY179" s="36"/>
      <c r="CZ179" s="36"/>
      <c r="DA179" s="36"/>
      <c r="DB179" s="36"/>
      <c r="DC179" s="36"/>
      <c r="DD179" s="36"/>
      <c r="DE179" s="36"/>
      <c r="DF179" s="36"/>
      <c r="DG179" s="36"/>
      <c r="DH179" s="36"/>
      <c r="DI179" s="36"/>
      <c r="DJ179" s="36"/>
      <c r="DK179" s="36"/>
      <c r="DL179" s="36"/>
      <c r="DM179" s="36"/>
      <c r="DN179" s="36"/>
      <c r="DO179" s="36"/>
      <c r="DP179" s="36"/>
      <c r="DQ179" s="36"/>
      <c r="DR179" s="36"/>
      <c r="DS179" s="36"/>
      <c r="DT179" s="36"/>
      <c r="DU179" s="36"/>
      <c r="DV179" s="36"/>
      <c r="DW179" s="36"/>
      <c r="DX179" s="36"/>
      <c r="DY179" s="36"/>
    </row>
    <row r="180" spans="84:129" ht="9" customHeight="1" x14ac:dyDescent="0.2">
      <c r="CF180" s="36"/>
      <c r="CG180" s="36"/>
      <c r="CH180" s="36"/>
      <c r="CI180" s="36"/>
      <c r="CJ180" s="36"/>
      <c r="CK180" s="36"/>
      <c r="CL180" s="36"/>
      <c r="CM180" s="37"/>
      <c r="CN180" s="36"/>
      <c r="CO180" s="36"/>
      <c r="CP180" s="36"/>
      <c r="CQ180" s="36"/>
      <c r="CR180" s="36"/>
      <c r="CS180" s="36"/>
      <c r="CT180" s="36"/>
      <c r="CU180" s="36"/>
      <c r="CV180" s="36"/>
      <c r="CW180" s="36"/>
      <c r="CX180" s="36"/>
      <c r="CY180" s="36"/>
      <c r="CZ180" s="36"/>
      <c r="DA180" s="36"/>
      <c r="DB180" s="36"/>
      <c r="DC180" s="36"/>
      <c r="DD180" s="36"/>
      <c r="DE180" s="36"/>
      <c r="DF180" s="36"/>
      <c r="DG180" s="36"/>
      <c r="DH180" s="36"/>
      <c r="DI180" s="36"/>
      <c r="DJ180" s="36"/>
      <c r="DK180" s="36"/>
      <c r="DL180" s="36"/>
      <c r="DM180" s="36"/>
      <c r="DN180" s="36"/>
      <c r="DO180" s="36"/>
      <c r="DP180" s="36"/>
      <c r="DQ180" s="36"/>
      <c r="DR180" s="36"/>
      <c r="DS180" s="36"/>
      <c r="DT180" s="36"/>
      <c r="DU180" s="36"/>
      <c r="DV180" s="36"/>
      <c r="DW180" s="36"/>
      <c r="DX180" s="36"/>
      <c r="DY180" s="36"/>
    </row>
    <row r="181" spans="84:129" ht="9" customHeight="1" x14ac:dyDescent="0.2">
      <c r="CF181" s="36"/>
      <c r="CG181" s="36"/>
      <c r="CH181" s="36"/>
      <c r="CI181" s="36"/>
      <c r="CJ181" s="36"/>
      <c r="CK181" s="36"/>
      <c r="CL181" s="36"/>
      <c r="CM181" s="37"/>
      <c r="CN181" s="36"/>
      <c r="CO181" s="36"/>
      <c r="CP181" s="36"/>
      <c r="CQ181" s="36"/>
      <c r="CR181" s="36"/>
      <c r="CS181" s="36"/>
      <c r="CT181" s="36"/>
      <c r="CU181" s="36"/>
      <c r="CV181" s="36"/>
      <c r="CW181" s="36"/>
      <c r="CX181" s="36"/>
      <c r="CY181" s="36"/>
      <c r="CZ181" s="36"/>
      <c r="DA181" s="36"/>
      <c r="DB181" s="36"/>
      <c r="DC181" s="36"/>
      <c r="DD181" s="36"/>
      <c r="DE181" s="36"/>
      <c r="DF181" s="36"/>
      <c r="DG181" s="36"/>
      <c r="DH181" s="36"/>
      <c r="DI181" s="36"/>
      <c r="DJ181" s="36"/>
      <c r="DK181" s="36"/>
      <c r="DL181" s="36"/>
      <c r="DM181" s="36"/>
      <c r="DN181" s="36"/>
      <c r="DO181" s="36"/>
      <c r="DP181" s="36"/>
      <c r="DQ181" s="36"/>
      <c r="DR181" s="36"/>
      <c r="DS181" s="36"/>
      <c r="DT181" s="36"/>
      <c r="DU181" s="36"/>
      <c r="DV181" s="36"/>
      <c r="DW181" s="36"/>
      <c r="DX181" s="36"/>
      <c r="DY181" s="36"/>
    </row>
    <row r="182" spans="84:129" ht="9" customHeight="1" x14ac:dyDescent="0.2">
      <c r="CF182" s="36"/>
      <c r="CG182" s="36"/>
      <c r="CH182" s="36"/>
      <c r="CI182" s="36"/>
      <c r="CJ182" s="36"/>
      <c r="CK182" s="36"/>
      <c r="CL182" s="36"/>
      <c r="CM182" s="37"/>
      <c r="CN182" s="36"/>
      <c r="CO182" s="36"/>
      <c r="CP182" s="36"/>
      <c r="CQ182" s="36"/>
      <c r="CR182" s="36"/>
      <c r="CS182" s="36"/>
      <c r="CT182" s="36"/>
      <c r="CU182" s="36"/>
      <c r="CV182" s="36"/>
      <c r="CW182" s="36"/>
      <c r="CX182" s="36"/>
      <c r="CY182" s="36"/>
      <c r="CZ182" s="36"/>
      <c r="DA182" s="36"/>
      <c r="DB182" s="36"/>
      <c r="DC182" s="36"/>
      <c r="DD182" s="36"/>
      <c r="DE182" s="36"/>
      <c r="DF182" s="36"/>
      <c r="DG182" s="36"/>
      <c r="DH182" s="36"/>
      <c r="DI182" s="36"/>
      <c r="DJ182" s="36"/>
      <c r="DK182" s="36"/>
      <c r="DL182" s="36"/>
      <c r="DM182" s="36"/>
      <c r="DN182" s="36"/>
      <c r="DO182" s="36"/>
      <c r="DP182" s="36"/>
      <c r="DQ182" s="36"/>
      <c r="DR182" s="36"/>
      <c r="DS182" s="36"/>
      <c r="DT182" s="36"/>
      <c r="DU182" s="36"/>
      <c r="DV182" s="36"/>
      <c r="DW182" s="36"/>
      <c r="DX182" s="36"/>
      <c r="DY182" s="36"/>
    </row>
    <row r="183" spans="84:129" ht="9" customHeight="1" x14ac:dyDescent="0.2">
      <c r="CF183" s="36"/>
      <c r="CG183" s="36"/>
      <c r="CH183" s="36"/>
      <c r="CI183" s="36"/>
      <c r="CJ183" s="36"/>
      <c r="CK183" s="36"/>
      <c r="CL183" s="36"/>
      <c r="CM183" s="37"/>
      <c r="CN183" s="36"/>
      <c r="CO183" s="36"/>
      <c r="CP183" s="36"/>
      <c r="CQ183" s="36"/>
      <c r="CR183" s="36"/>
      <c r="CS183" s="36"/>
      <c r="CT183" s="36"/>
      <c r="CU183" s="36"/>
      <c r="CV183" s="36"/>
      <c r="CW183" s="36"/>
      <c r="CX183" s="36"/>
      <c r="CY183" s="36"/>
      <c r="CZ183" s="36"/>
      <c r="DA183" s="36"/>
      <c r="DB183" s="36"/>
      <c r="DC183" s="36"/>
      <c r="DD183" s="36"/>
      <c r="DE183" s="36"/>
      <c r="DF183" s="36"/>
      <c r="DG183" s="36"/>
      <c r="DH183" s="36"/>
      <c r="DI183" s="36"/>
      <c r="DJ183" s="36"/>
      <c r="DK183" s="36"/>
      <c r="DL183" s="36"/>
      <c r="DM183" s="36"/>
      <c r="DN183" s="36"/>
      <c r="DO183" s="36"/>
      <c r="DP183" s="36"/>
      <c r="DQ183" s="36"/>
      <c r="DR183" s="36"/>
      <c r="DS183" s="36"/>
      <c r="DT183" s="36"/>
      <c r="DU183" s="36"/>
      <c r="DV183" s="36"/>
      <c r="DW183" s="36"/>
      <c r="DX183" s="36"/>
      <c r="DY183" s="36"/>
    </row>
    <row r="184" spans="84:129" ht="9" customHeight="1" x14ac:dyDescent="0.2">
      <c r="CF184" s="36"/>
      <c r="CG184" s="36"/>
      <c r="CH184" s="36"/>
      <c r="CI184" s="36"/>
      <c r="CJ184" s="36"/>
      <c r="CK184" s="36"/>
      <c r="CL184" s="36"/>
      <c r="CM184" s="37"/>
      <c r="CN184" s="36"/>
      <c r="CO184" s="36"/>
      <c r="CP184" s="36"/>
      <c r="CQ184" s="36"/>
      <c r="CR184" s="36"/>
      <c r="CS184" s="36"/>
      <c r="CT184" s="36"/>
      <c r="CU184" s="36"/>
      <c r="CV184" s="36"/>
      <c r="CW184" s="36"/>
      <c r="CX184" s="36"/>
      <c r="CY184" s="36"/>
      <c r="CZ184" s="36"/>
      <c r="DA184" s="36"/>
      <c r="DB184" s="36"/>
      <c r="DC184" s="36"/>
      <c r="DD184" s="36"/>
      <c r="DE184" s="36"/>
      <c r="DF184" s="36"/>
      <c r="DG184" s="36"/>
      <c r="DH184" s="36"/>
      <c r="DI184" s="36"/>
      <c r="DJ184" s="36"/>
      <c r="DK184" s="36"/>
      <c r="DL184" s="36"/>
      <c r="DM184" s="36"/>
      <c r="DN184" s="36"/>
      <c r="DO184" s="36"/>
      <c r="DP184" s="36"/>
      <c r="DQ184" s="36"/>
      <c r="DR184" s="36"/>
      <c r="DS184" s="36"/>
      <c r="DT184" s="36"/>
      <c r="DU184" s="36"/>
      <c r="DV184" s="36"/>
      <c r="DW184" s="36"/>
      <c r="DX184" s="36"/>
      <c r="DY184" s="36"/>
    </row>
    <row r="185" spans="84:129" ht="9" customHeight="1" x14ac:dyDescent="0.2">
      <c r="CF185" s="36"/>
      <c r="CG185" s="36"/>
      <c r="CH185" s="36"/>
      <c r="CI185" s="36"/>
      <c r="CJ185" s="36"/>
      <c r="CK185" s="36"/>
      <c r="CL185" s="36"/>
      <c r="CM185" s="37"/>
      <c r="CN185" s="36"/>
      <c r="CO185" s="36"/>
      <c r="CP185" s="36"/>
      <c r="CQ185" s="36"/>
      <c r="CR185" s="36"/>
      <c r="CS185" s="36"/>
      <c r="CT185" s="36"/>
      <c r="CU185" s="36"/>
      <c r="CV185" s="36"/>
      <c r="CW185" s="36"/>
      <c r="CX185" s="36"/>
      <c r="CY185" s="36"/>
      <c r="CZ185" s="36"/>
      <c r="DA185" s="36"/>
      <c r="DB185" s="36"/>
      <c r="DC185" s="36"/>
      <c r="DD185" s="36"/>
      <c r="DE185" s="36"/>
      <c r="DF185" s="36"/>
      <c r="DG185" s="36"/>
      <c r="DH185" s="36"/>
      <c r="DI185" s="36"/>
      <c r="DJ185" s="36"/>
      <c r="DK185" s="36"/>
      <c r="DL185" s="36"/>
      <c r="DM185" s="36"/>
      <c r="DN185" s="36"/>
      <c r="DO185" s="36"/>
      <c r="DP185" s="36"/>
      <c r="DQ185" s="36"/>
      <c r="DR185" s="36"/>
      <c r="DS185" s="36"/>
      <c r="DT185" s="36"/>
      <c r="DU185" s="36"/>
      <c r="DV185" s="36"/>
      <c r="DW185" s="36"/>
      <c r="DX185" s="36"/>
      <c r="DY185" s="36"/>
    </row>
    <row r="186" spans="84:129" ht="9" customHeight="1" x14ac:dyDescent="0.2">
      <c r="CF186" s="36"/>
      <c r="CG186" s="36"/>
      <c r="CH186" s="36"/>
      <c r="CI186" s="36"/>
      <c r="CJ186" s="36"/>
      <c r="CK186" s="36"/>
      <c r="CL186" s="36"/>
      <c r="CM186" s="37"/>
      <c r="CN186" s="36"/>
      <c r="CO186" s="36"/>
      <c r="CP186" s="36"/>
      <c r="CQ186" s="36"/>
      <c r="CR186" s="36"/>
      <c r="CS186" s="36"/>
      <c r="CT186" s="36"/>
      <c r="CU186" s="36"/>
      <c r="CV186" s="36"/>
      <c r="CW186" s="36"/>
      <c r="CX186" s="36"/>
      <c r="CY186" s="36"/>
      <c r="CZ186" s="36"/>
      <c r="DA186" s="36"/>
      <c r="DB186" s="36"/>
      <c r="DC186" s="36"/>
      <c r="DD186" s="36"/>
      <c r="DE186" s="36"/>
      <c r="DF186" s="36"/>
      <c r="DG186" s="36"/>
      <c r="DH186" s="36"/>
      <c r="DI186" s="36"/>
      <c r="DJ186" s="36"/>
      <c r="DK186" s="36"/>
      <c r="DL186" s="36"/>
      <c r="DM186" s="36"/>
      <c r="DN186" s="36"/>
      <c r="DO186" s="36"/>
      <c r="DP186" s="36"/>
      <c r="DQ186" s="36"/>
      <c r="DR186" s="36"/>
      <c r="DS186" s="36"/>
      <c r="DT186" s="36"/>
      <c r="DU186" s="36"/>
      <c r="DV186" s="36"/>
      <c r="DW186" s="36"/>
      <c r="DX186" s="36"/>
      <c r="DY186" s="36"/>
    </row>
    <row r="187" spans="84:129" ht="9" customHeight="1" x14ac:dyDescent="0.2">
      <c r="CF187" s="36"/>
      <c r="CG187" s="36"/>
      <c r="CH187" s="36"/>
      <c r="CI187" s="36"/>
      <c r="CJ187" s="36"/>
      <c r="CK187" s="36"/>
      <c r="CL187" s="36"/>
      <c r="CM187" s="37"/>
      <c r="CN187" s="36"/>
      <c r="CO187" s="36"/>
      <c r="CP187" s="36"/>
      <c r="CQ187" s="36"/>
      <c r="CR187" s="36"/>
      <c r="CS187" s="36"/>
      <c r="CT187" s="36"/>
      <c r="CU187" s="36"/>
      <c r="CV187" s="36"/>
      <c r="CW187" s="36"/>
      <c r="CX187" s="36"/>
      <c r="CY187" s="36"/>
      <c r="CZ187" s="36"/>
      <c r="DA187" s="36"/>
      <c r="DB187" s="36"/>
      <c r="DC187" s="36"/>
      <c r="DD187" s="36"/>
      <c r="DE187" s="36"/>
      <c r="DF187" s="36"/>
      <c r="DG187" s="36"/>
      <c r="DH187" s="36"/>
      <c r="DI187" s="36"/>
      <c r="DJ187" s="36"/>
      <c r="DK187" s="36"/>
      <c r="DL187" s="36"/>
      <c r="DM187" s="36"/>
      <c r="DN187" s="36"/>
      <c r="DO187" s="36"/>
      <c r="DP187" s="36"/>
      <c r="DQ187" s="36"/>
      <c r="DR187" s="36"/>
      <c r="DS187" s="36"/>
      <c r="DT187" s="36"/>
      <c r="DU187" s="36"/>
      <c r="DV187" s="36"/>
      <c r="DW187" s="36"/>
      <c r="DX187" s="36"/>
      <c r="DY187" s="36"/>
    </row>
    <row r="188" spans="84:129" ht="9" customHeight="1" x14ac:dyDescent="0.2">
      <c r="CF188" s="36"/>
      <c r="CG188" s="36"/>
      <c r="CH188" s="36"/>
      <c r="CI188" s="36"/>
      <c r="CJ188" s="36"/>
      <c r="CK188" s="36"/>
      <c r="CL188" s="36"/>
      <c r="CM188" s="37"/>
      <c r="CN188" s="36"/>
      <c r="CO188" s="36"/>
      <c r="CP188" s="36"/>
      <c r="CQ188" s="36"/>
      <c r="CR188" s="36"/>
      <c r="CS188" s="36"/>
      <c r="CT188" s="36"/>
      <c r="CU188" s="36"/>
      <c r="CV188" s="36"/>
      <c r="CW188" s="36"/>
      <c r="CX188" s="36"/>
      <c r="CY188" s="36"/>
      <c r="CZ188" s="36"/>
      <c r="DA188" s="36"/>
      <c r="DB188" s="36"/>
      <c r="DC188" s="36"/>
      <c r="DD188" s="36"/>
      <c r="DE188" s="36"/>
      <c r="DF188" s="36"/>
      <c r="DG188" s="36"/>
      <c r="DH188" s="36"/>
      <c r="DI188" s="36"/>
      <c r="DJ188" s="36"/>
      <c r="DK188" s="36"/>
      <c r="DL188" s="36"/>
      <c r="DM188" s="36"/>
      <c r="DN188" s="36"/>
      <c r="DO188" s="36"/>
      <c r="DP188" s="36"/>
      <c r="DQ188" s="36"/>
      <c r="DR188" s="36"/>
      <c r="DS188" s="36"/>
      <c r="DT188" s="36"/>
      <c r="DU188" s="36"/>
      <c r="DV188" s="36"/>
      <c r="DW188" s="36"/>
      <c r="DX188" s="36"/>
      <c r="DY188" s="36"/>
    </row>
    <row r="189" spans="84:129" ht="9" customHeight="1" x14ac:dyDescent="0.2">
      <c r="CF189" s="36"/>
      <c r="CG189" s="36"/>
      <c r="CH189" s="36"/>
      <c r="CI189" s="36"/>
      <c r="CJ189" s="36"/>
      <c r="CK189" s="36"/>
      <c r="CL189" s="36"/>
      <c r="CM189" s="37"/>
      <c r="CN189" s="36"/>
      <c r="CO189" s="36"/>
      <c r="CP189" s="36"/>
      <c r="CQ189" s="36"/>
      <c r="CR189" s="36"/>
      <c r="CS189" s="36"/>
      <c r="CT189" s="36"/>
      <c r="CU189" s="36"/>
      <c r="CV189" s="36"/>
      <c r="CW189" s="36"/>
      <c r="CX189" s="36"/>
      <c r="CY189" s="36"/>
      <c r="CZ189" s="36"/>
      <c r="DA189" s="36"/>
      <c r="DB189" s="36"/>
      <c r="DC189" s="36"/>
      <c r="DD189" s="36"/>
      <c r="DE189" s="36"/>
      <c r="DF189" s="36"/>
      <c r="DG189" s="36"/>
      <c r="DH189" s="36"/>
      <c r="DI189" s="36"/>
      <c r="DJ189" s="36"/>
      <c r="DK189" s="36"/>
      <c r="DL189" s="36"/>
      <c r="DM189" s="36"/>
      <c r="DN189" s="36"/>
      <c r="DO189" s="36"/>
      <c r="DP189" s="36"/>
      <c r="DQ189" s="36"/>
      <c r="DR189" s="36"/>
      <c r="DS189" s="36"/>
      <c r="DT189" s="36"/>
      <c r="DU189" s="36"/>
      <c r="DV189" s="36"/>
      <c r="DW189" s="36"/>
      <c r="DX189" s="36"/>
      <c r="DY189" s="36"/>
    </row>
    <row r="190" spans="84:129" ht="9" customHeight="1" x14ac:dyDescent="0.2">
      <c r="CF190" s="36"/>
      <c r="CG190" s="36"/>
      <c r="CH190" s="36"/>
      <c r="CI190" s="36"/>
      <c r="CJ190" s="36"/>
      <c r="CK190" s="36"/>
      <c r="CL190" s="36"/>
      <c r="CM190" s="37"/>
      <c r="CN190" s="36"/>
      <c r="CO190" s="36"/>
      <c r="CP190" s="36"/>
      <c r="CQ190" s="36"/>
      <c r="CR190" s="36"/>
      <c r="CS190" s="36"/>
      <c r="CT190" s="36"/>
      <c r="CU190" s="36"/>
      <c r="CV190" s="36"/>
      <c r="CW190" s="36"/>
      <c r="CX190" s="36"/>
      <c r="CY190" s="36"/>
      <c r="CZ190" s="36"/>
      <c r="DA190" s="36"/>
      <c r="DB190" s="36"/>
      <c r="DC190" s="36"/>
      <c r="DD190" s="36"/>
      <c r="DE190" s="36"/>
      <c r="DF190" s="36"/>
      <c r="DG190" s="36"/>
      <c r="DH190" s="36"/>
      <c r="DI190" s="36"/>
      <c r="DJ190" s="36"/>
      <c r="DK190" s="36"/>
      <c r="DL190" s="36"/>
      <c r="DM190" s="36"/>
      <c r="DN190" s="36"/>
      <c r="DO190" s="36"/>
      <c r="DP190" s="36"/>
      <c r="DQ190" s="36"/>
      <c r="DR190" s="36"/>
      <c r="DS190" s="36"/>
      <c r="DT190" s="36"/>
      <c r="DU190" s="36"/>
      <c r="DV190" s="36"/>
      <c r="DW190" s="36"/>
      <c r="DX190" s="36"/>
      <c r="DY190" s="36"/>
    </row>
    <row r="191" spans="84:129" ht="9" customHeight="1" x14ac:dyDescent="0.2">
      <c r="CF191" s="36"/>
      <c r="CG191" s="36"/>
      <c r="CH191" s="36"/>
      <c r="CI191" s="36"/>
      <c r="CJ191" s="36"/>
      <c r="CK191" s="36"/>
      <c r="CL191" s="36"/>
      <c r="CM191" s="37"/>
      <c r="CN191" s="36"/>
      <c r="CO191" s="36"/>
      <c r="CP191" s="36"/>
      <c r="CQ191" s="36"/>
      <c r="CR191" s="36"/>
      <c r="CS191" s="36"/>
      <c r="CT191" s="36"/>
      <c r="CU191" s="36"/>
      <c r="CV191" s="36"/>
      <c r="CW191" s="36"/>
      <c r="CX191" s="36"/>
      <c r="CY191" s="36"/>
      <c r="CZ191" s="36"/>
      <c r="DA191" s="36"/>
      <c r="DB191" s="36"/>
      <c r="DC191" s="36"/>
      <c r="DD191" s="36"/>
      <c r="DE191" s="36"/>
      <c r="DF191" s="36"/>
      <c r="DG191" s="36"/>
      <c r="DH191" s="36"/>
      <c r="DI191" s="36"/>
      <c r="DJ191" s="36"/>
      <c r="DK191" s="36"/>
      <c r="DL191" s="36"/>
      <c r="DM191" s="36"/>
      <c r="DN191" s="36"/>
      <c r="DO191" s="36"/>
      <c r="DP191" s="36"/>
      <c r="DQ191" s="36"/>
      <c r="DR191" s="36"/>
      <c r="DS191" s="36"/>
      <c r="DT191" s="36"/>
      <c r="DU191" s="36"/>
      <c r="DV191" s="36"/>
      <c r="DW191" s="36"/>
      <c r="DX191" s="36"/>
      <c r="DY191" s="36"/>
    </row>
    <row r="192" spans="84:129" ht="9" customHeight="1" x14ac:dyDescent="0.2">
      <c r="CF192" s="36"/>
      <c r="CG192" s="36"/>
      <c r="CH192" s="36"/>
      <c r="CI192" s="36"/>
      <c r="CJ192" s="36"/>
      <c r="CK192" s="36"/>
      <c r="CL192" s="36"/>
      <c r="CM192" s="37"/>
      <c r="CN192" s="36"/>
      <c r="CO192" s="36"/>
      <c r="CP192" s="36"/>
      <c r="CQ192" s="36"/>
      <c r="CR192" s="36"/>
      <c r="CS192" s="36"/>
      <c r="CT192" s="36"/>
      <c r="CU192" s="36"/>
      <c r="CV192" s="36"/>
      <c r="CW192" s="36"/>
      <c r="CX192" s="36"/>
      <c r="CY192" s="36"/>
      <c r="CZ192" s="36"/>
      <c r="DA192" s="36"/>
      <c r="DB192" s="36"/>
      <c r="DC192" s="36"/>
      <c r="DD192" s="36"/>
      <c r="DE192" s="36"/>
      <c r="DF192" s="36"/>
      <c r="DG192" s="36"/>
      <c r="DH192" s="36"/>
      <c r="DI192" s="36"/>
      <c r="DJ192" s="36"/>
      <c r="DK192" s="36"/>
      <c r="DL192" s="36"/>
      <c r="DM192" s="36"/>
      <c r="DN192" s="36"/>
      <c r="DO192" s="36"/>
      <c r="DP192" s="36"/>
      <c r="DQ192" s="36"/>
      <c r="DR192" s="36"/>
      <c r="DS192" s="36"/>
      <c r="DT192" s="36"/>
      <c r="DU192" s="36"/>
      <c r="DV192" s="36"/>
      <c r="DW192" s="36"/>
      <c r="DX192" s="36"/>
      <c r="DY192" s="36"/>
    </row>
    <row r="193" spans="84:129" ht="9" customHeight="1" x14ac:dyDescent="0.2">
      <c r="CF193" s="36"/>
      <c r="CG193" s="36"/>
      <c r="CH193" s="36"/>
      <c r="CI193" s="36"/>
      <c r="CJ193" s="36"/>
      <c r="CK193" s="36"/>
      <c r="CL193" s="36"/>
      <c r="CM193" s="37"/>
      <c r="CN193" s="36"/>
      <c r="CO193" s="36"/>
      <c r="CP193" s="36"/>
      <c r="CQ193" s="36"/>
      <c r="CR193" s="36"/>
      <c r="CS193" s="36"/>
      <c r="CT193" s="36"/>
      <c r="CU193" s="36"/>
      <c r="CV193" s="36"/>
      <c r="CW193" s="36"/>
      <c r="CX193" s="36"/>
      <c r="CY193" s="36"/>
      <c r="CZ193" s="36"/>
      <c r="DA193" s="36"/>
      <c r="DB193" s="36"/>
      <c r="DC193" s="36"/>
      <c r="DD193" s="36"/>
      <c r="DE193" s="36"/>
      <c r="DF193" s="36"/>
      <c r="DG193" s="36"/>
      <c r="DH193" s="36"/>
      <c r="DI193" s="36"/>
      <c r="DJ193" s="36"/>
      <c r="DK193" s="36"/>
      <c r="DL193" s="36"/>
      <c r="DM193" s="36"/>
      <c r="DN193" s="36"/>
      <c r="DO193" s="36"/>
      <c r="DP193" s="36"/>
      <c r="DQ193" s="36"/>
      <c r="DR193" s="36"/>
      <c r="DS193" s="36"/>
      <c r="DT193" s="36"/>
      <c r="DU193" s="36"/>
      <c r="DV193" s="36"/>
      <c r="DW193" s="36"/>
      <c r="DX193" s="36"/>
      <c r="DY193" s="36"/>
    </row>
    <row r="194" spans="84:129" ht="9" customHeight="1" x14ac:dyDescent="0.2">
      <c r="CF194" s="36"/>
      <c r="CG194" s="36"/>
      <c r="CH194" s="36"/>
      <c r="CI194" s="36"/>
      <c r="CJ194" s="36"/>
      <c r="CK194" s="36"/>
      <c r="CL194" s="36"/>
      <c r="CM194" s="37"/>
      <c r="CN194" s="36"/>
      <c r="CO194" s="36"/>
      <c r="CP194" s="36"/>
      <c r="CQ194" s="36"/>
      <c r="CR194" s="36"/>
      <c r="CS194" s="36"/>
      <c r="CT194" s="36"/>
      <c r="CU194" s="36"/>
      <c r="CV194" s="36"/>
      <c r="CW194" s="36"/>
      <c r="CX194" s="36"/>
      <c r="CY194" s="36"/>
      <c r="CZ194" s="36"/>
      <c r="DA194" s="36"/>
      <c r="DB194" s="36"/>
      <c r="DC194" s="36"/>
      <c r="DD194" s="36"/>
      <c r="DE194" s="36"/>
      <c r="DF194" s="36"/>
      <c r="DG194" s="36"/>
      <c r="DH194" s="36"/>
      <c r="DI194" s="36"/>
      <c r="DJ194" s="36"/>
      <c r="DK194" s="36"/>
      <c r="DL194" s="36"/>
      <c r="DM194" s="36"/>
      <c r="DN194" s="36"/>
      <c r="DO194" s="36"/>
      <c r="DP194" s="36"/>
      <c r="DQ194" s="36"/>
      <c r="DR194" s="36"/>
      <c r="DS194" s="36"/>
      <c r="DT194" s="36"/>
      <c r="DU194" s="36"/>
      <c r="DV194" s="36"/>
      <c r="DW194" s="36"/>
      <c r="DX194" s="36"/>
      <c r="DY194" s="36"/>
    </row>
    <row r="195" spans="84:129" ht="9" customHeight="1" x14ac:dyDescent="0.2">
      <c r="CF195" s="36"/>
      <c r="CG195" s="36"/>
      <c r="CH195" s="36"/>
      <c r="CI195" s="36"/>
      <c r="CJ195" s="36"/>
      <c r="CK195" s="36"/>
      <c r="CL195" s="36"/>
      <c r="CM195" s="37"/>
      <c r="CN195" s="36"/>
      <c r="CO195" s="36"/>
      <c r="CP195" s="36"/>
      <c r="CQ195" s="36"/>
      <c r="CR195" s="36"/>
      <c r="CS195" s="36"/>
      <c r="CT195" s="36"/>
      <c r="CU195" s="36"/>
      <c r="CV195" s="36"/>
      <c r="CW195" s="36"/>
      <c r="CX195" s="36"/>
      <c r="CY195" s="36"/>
      <c r="CZ195" s="36"/>
      <c r="DA195" s="36"/>
      <c r="DB195" s="36"/>
      <c r="DC195" s="36"/>
      <c r="DD195" s="36"/>
      <c r="DE195" s="36"/>
      <c r="DF195" s="36"/>
      <c r="DG195" s="36"/>
      <c r="DH195" s="36"/>
      <c r="DI195" s="36"/>
      <c r="DJ195" s="36"/>
      <c r="DK195" s="36"/>
      <c r="DL195" s="36"/>
      <c r="DM195" s="36"/>
      <c r="DN195" s="36"/>
      <c r="DO195" s="36"/>
      <c r="DP195" s="36"/>
      <c r="DQ195" s="36"/>
      <c r="DR195" s="36"/>
      <c r="DS195" s="36"/>
      <c r="DT195" s="36"/>
      <c r="DU195" s="36"/>
      <c r="DV195" s="36"/>
      <c r="DW195" s="36"/>
      <c r="DX195" s="36"/>
      <c r="DY195" s="36"/>
    </row>
    <row r="196" spans="84:129" ht="9" customHeight="1" x14ac:dyDescent="0.2">
      <c r="CF196" s="36"/>
      <c r="CG196" s="36"/>
      <c r="CH196" s="36"/>
      <c r="CI196" s="36"/>
      <c r="CJ196" s="36"/>
      <c r="CK196" s="36"/>
      <c r="CL196" s="36"/>
      <c r="CM196" s="37"/>
      <c r="CN196" s="36"/>
      <c r="CO196" s="36"/>
      <c r="CP196" s="36"/>
      <c r="CQ196" s="36"/>
      <c r="CR196" s="36"/>
      <c r="CS196" s="36"/>
      <c r="CT196" s="36"/>
      <c r="CU196" s="36"/>
      <c r="CV196" s="36"/>
      <c r="CW196" s="36"/>
      <c r="CX196" s="36"/>
      <c r="CY196" s="36"/>
      <c r="CZ196" s="36"/>
      <c r="DA196" s="36"/>
      <c r="DB196" s="36"/>
      <c r="DC196" s="36"/>
      <c r="DD196" s="36"/>
      <c r="DE196" s="36"/>
      <c r="DF196" s="36"/>
      <c r="DG196" s="36"/>
      <c r="DH196" s="36"/>
      <c r="DI196" s="36"/>
      <c r="DJ196" s="36"/>
      <c r="DK196" s="36"/>
      <c r="DL196" s="36"/>
      <c r="DM196" s="36"/>
      <c r="DN196" s="36"/>
      <c r="DO196" s="36"/>
      <c r="DP196" s="36"/>
      <c r="DQ196" s="36"/>
      <c r="DR196" s="36"/>
      <c r="DS196" s="36"/>
      <c r="DT196" s="36"/>
      <c r="DU196" s="36"/>
      <c r="DV196" s="36"/>
      <c r="DW196" s="36"/>
      <c r="DX196" s="36"/>
      <c r="DY196" s="36"/>
    </row>
    <row r="197" spans="84:129" ht="9" customHeight="1" x14ac:dyDescent="0.2">
      <c r="CF197" s="36"/>
      <c r="CG197" s="36"/>
      <c r="CH197" s="36"/>
      <c r="CI197" s="36"/>
      <c r="CJ197" s="36"/>
      <c r="CK197" s="36"/>
      <c r="CL197" s="36"/>
      <c r="CM197" s="37"/>
      <c r="CN197" s="36"/>
      <c r="CO197" s="36"/>
      <c r="CP197" s="36"/>
      <c r="CQ197" s="36"/>
      <c r="CR197" s="36"/>
      <c r="CS197" s="36"/>
      <c r="CT197" s="36"/>
      <c r="CU197" s="36"/>
      <c r="CV197" s="36"/>
      <c r="CW197" s="36"/>
      <c r="CX197" s="36"/>
      <c r="CY197" s="36"/>
      <c r="CZ197" s="36"/>
      <c r="DA197" s="36"/>
      <c r="DB197" s="36"/>
      <c r="DC197" s="36"/>
      <c r="DD197" s="36"/>
      <c r="DE197" s="36"/>
      <c r="DF197" s="36"/>
      <c r="DG197" s="36"/>
      <c r="DH197" s="36"/>
      <c r="DI197" s="36"/>
      <c r="DJ197" s="36"/>
      <c r="DK197" s="36"/>
      <c r="DL197" s="36"/>
      <c r="DM197" s="36"/>
      <c r="DN197" s="36"/>
      <c r="DO197" s="36"/>
      <c r="DP197" s="36"/>
      <c r="DQ197" s="36"/>
      <c r="DR197" s="36"/>
      <c r="DS197" s="36"/>
      <c r="DT197" s="36"/>
      <c r="DU197" s="36"/>
      <c r="DV197" s="36"/>
      <c r="DW197" s="36"/>
      <c r="DX197" s="36"/>
      <c r="DY197" s="36"/>
    </row>
    <row r="198" spans="84:129" ht="9" customHeight="1" x14ac:dyDescent="0.2">
      <c r="CF198" s="36"/>
      <c r="CG198" s="36"/>
      <c r="CH198" s="36"/>
      <c r="CI198" s="36"/>
      <c r="CJ198" s="36"/>
      <c r="CK198" s="36"/>
      <c r="CL198" s="36"/>
      <c r="CM198" s="37"/>
      <c r="CN198" s="36"/>
      <c r="CO198" s="36"/>
      <c r="CP198" s="36"/>
      <c r="CQ198" s="36"/>
      <c r="CR198" s="36"/>
      <c r="CS198" s="36"/>
      <c r="CT198" s="36"/>
      <c r="CU198" s="36"/>
      <c r="CV198" s="36"/>
      <c r="CW198" s="36"/>
      <c r="CX198" s="36"/>
      <c r="CY198" s="36"/>
      <c r="CZ198" s="36"/>
      <c r="DA198" s="36"/>
      <c r="DB198" s="36"/>
      <c r="DC198" s="36"/>
      <c r="DD198" s="36"/>
      <c r="DE198" s="36"/>
      <c r="DF198" s="36"/>
      <c r="DG198" s="36"/>
      <c r="DH198" s="36"/>
      <c r="DI198" s="36"/>
      <c r="DJ198" s="36"/>
      <c r="DK198" s="36"/>
      <c r="DL198" s="36"/>
      <c r="DM198" s="36"/>
      <c r="DN198" s="36"/>
      <c r="DO198" s="36"/>
      <c r="DP198" s="36"/>
      <c r="DQ198" s="36"/>
      <c r="DR198" s="36"/>
      <c r="DS198" s="36"/>
      <c r="DT198" s="36"/>
      <c r="DU198" s="36"/>
      <c r="DV198" s="36"/>
      <c r="DW198" s="36"/>
      <c r="DX198" s="36"/>
      <c r="DY198" s="36"/>
    </row>
    <row r="199" spans="84:129" ht="9" customHeight="1" x14ac:dyDescent="0.2">
      <c r="CF199" s="36"/>
      <c r="CG199" s="36"/>
      <c r="CH199" s="36"/>
      <c r="CI199" s="36"/>
      <c r="CJ199" s="36"/>
      <c r="CK199" s="36"/>
      <c r="CL199" s="36"/>
      <c r="CM199" s="37"/>
      <c r="CN199" s="36"/>
      <c r="CO199" s="36"/>
      <c r="CP199" s="36"/>
      <c r="CQ199" s="36"/>
      <c r="CR199" s="36"/>
      <c r="CS199" s="36"/>
      <c r="CT199" s="36"/>
      <c r="CU199" s="36"/>
      <c r="CV199" s="36"/>
      <c r="CW199" s="36"/>
      <c r="CX199" s="36"/>
      <c r="CY199" s="36"/>
      <c r="CZ199" s="36"/>
      <c r="DA199" s="36"/>
      <c r="DB199" s="36"/>
      <c r="DC199" s="36"/>
      <c r="DD199" s="36"/>
      <c r="DE199" s="36"/>
      <c r="DF199" s="36"/>
      <c r="DG199" s="36"/>
      <c r="DH199" s="36"/>
      <c r="DI199" s="36"/>
      <c r="DJ199" s="36"/>
      <c r="DK199" s="36"/>
      <c r="DL199" s="36"/>
      <c r="DM199" s="36"/>
      <c r="DN199" s="36"/>
      <c r="DO199" s="36"/>
      <c r="DP199" s="36"/>
      <c r="DQ199" s="36"/>
      <c r="DR199" s="36"/>
      <c r="DS199" s="36"/>
      <c r="DT199" s="36"/>
      <c r="DU199" s="36"/>
      <c r="DV199" s="36"/>
      <c r="DW199" s="36"/>
      <c r="DX199" s="36"/>
      <c r="DY199" s="36"/>
    </row>
    <row r="200" spans="84:129" ht="9" customHeight="1" x14ac:dyDescent="0.2">
      <c r="CF200" s="36"/>
      <c r="CG200" s="36"/>
      <c r="CH200" s="36"/>
      <c r="CI200" s="36"/>
      <c r="CJ200" s="36"/>
      <c r="CK200" s="36"/>
      <c r="CL200" s="36"/>
      <c r="CM200" s="37"/>
      <c r="CN200" s="36"/>
      <c r="CO200" s="36"/>
      <c r="CP200" s="36"/>
      <c r="CQ200" s="36"/>
      <c r="CR200" s="36"/>
      <c r="CS200" s="36"/>
      <c r="CT200" s="36"/>
      <c r="CU200" s="36"/>
      <c r="CV200" s="36"/>
      <c r="CW200" s="36"/>
      <c r="CX200" s="36"/>
      <c r="CY200" s="36"/>
      <c r="CZ200" s="36"/>
      <c r="DA200" s="36"/>
      <c r="DB200" s="36"/>
      <c r="DC200" s="36"/>
      <c r="DD200" s="36"/>
      <c r="DE200" s="36"/>
      <c r="DF200" s="36"/>
      <c r="DG200" s="36"/>
      <c r="DH200" s="36"/>
      <c r="DI200" s="36"/>
      <c r="DJ200" s="36"/>
      <c r="DK200" s="36"/>
      <c r="DL200" s="36"/>
      <c r="DM200" s="36"/>
      <c r="DN200" s="36"/>
      <c r="DO200" s="36"/>
      <c r="DP200" s="36"/>
      <c r="DQ200" s="36"/>
      <c r="DR200" s="36"/>
      <c r="DS200" s="36"/>
      <c r="DT200" s="36"/>
      <c r="DU200" s="36"/>
      <c r="DV200" s="36"/>
      <c r="DW200" s="36"/>
      <c r="DX200" s="36"/>
      <c r="DY200" s="36"/>
    </row>
    <row r="201" spans="84:129" ht="9" customHeight="1" x14ac:dyDescent="0.2">
      <c r="CF201" s="36"/>
      <c r="CG201" s="36"/>
      <c r="CH201" s="36"/>
      <c r="CI201" s="36"/>
      <c r="CJ201" s="36"/>
      <c r="CK201" s="36"/>
      <c r="CL201" s="36"/>
      <c r="CM201" s="37"/>
      <c r="CN201" s="36"/>
      <c r="CO201" s="36"/>
      <c r="CP201" s="36"/>
      <c r="CQ201" s="36"/>
      <c r="CR201" s="36"/>
      <c r="CS201" s="36"/>
      <c r="CT201" s="36"/>
      <c r="CU201" s="36"/>
      <c r="CV201" s="36"/>
      <c r="CW201" s="36"/>
      <c r="CX201" s="36"/>
      <c r="CY201" s="36"/>
      <c r="CZ201" s="36"/>
      <c r="DA201" s="36"/>
      <c r="DB201" s="36"/>
      <c r="DC201" s="36"/>
      <c r="DD201" s="36"/>
      <c r="DE201" s="36"/>
      <c r="DF201" s="36"/>
      <c r="DG201" s="36"/>
      <c r="DH201" s="36"/>
      <c r="DI201" s="36"/>
      <c r="DJ201" s="36"/>
      <c r="DK201" s="36"/>
      <c r="DL201" s="36"/>
      <c r="DM201" s="36"/>
      <c r="DN201" s="36"/>
      <c r="DO201" s="36"/>
      <c r="DP201" s="36"/>
      <c r="DQ201" s="36"/>
      <c r="DR201" s="36"/>
      <c r="DS201" s="36"/>
      <c r="DT201" s="36"/>
      <c r="DU201" s="36"/>
      <c r="DV201" s="36"/>
      <c r="DW201" s="36"/>
      <c r="DX201" s="36"/>
      <c r="DY201" s="36"/>
    </row>
    <row r="202" spans="84:129" ht="9" customHeight="1" x14ac:dyDescent="0.2">
      <c r="CF202" s="36"/>
      <c r="CG202" s="36"/>
      <c r="CH202" s="36"/>
      <c r="CI202" s="36"/>
      <c r="CJ202" s="36"/>
      <c r="CK202" s="36"/>
      <c r="CL202" s="36"/>
      <c r="CM202" s="37"/>
      <c r="CN202" s="36"/>
      <c r="CO202" s="36"/>
      <c r="CP202" s="36"/>
      <c r="CQ202" s="36"/>
      <c r="CR202" s="36"/>
      <c r="CS202" s="36"/>
      <c r="CT202" s="36"/>
      <c r="CU202" s="36"/>
      <c r="CV202" s="36"/>
      <c r="CW202" s="36"/>
      <c r="CX202" s="36"/>
      <c r="CY202" s="36"/>
      <c r="CZ202" s="36"/>
      <c r="DA202" s="36"/>
      <c r="DB202" s="36"/>
      <c r="DC202" s="36"/>
      <c r="DD202" s="36"/>
      <c r="DE202" s="36"/>
      <c r="DF202" s="36"/>
      <c r="DG202" s="36"/>
      <c r="DH202" s="36"/>
      <c r="DI202" s="36"/>
      <c r="DJ202" s="36"/>
      <c r="DK202" s="36"/>
      <c r="DL202" s="36"/>
      <c r="DM202" s="36"/>
      <c r="DN202" s="36"/>
      <c r="DO202" s="36"/>
      <c r="DP202" s="36"/>
      <c r="DQ202" s="36"/>
      <c r="DR202" s="36"/>
      <c r="DS202" s="36"/>
      <c r="DT202" s="36"/>
      <c r="DU202" s="36"/>
      <c r="DV202" s="36"/>
      <c r="DW202" s="36"/>
      <c r="DX202" s="36"/>
      <c r="DY202" s="36"/>
    </row>
    <row r="203" spans="84:129" ht="9" customHeight="1" x14ac:dyDescent="0.2">
      <c r="CF203" s="36"/>
      <c r="CG203" s="36"/>
      <c r="CH203" s="36"/>
      <c r="CI203" s="36"/>
      <c r="CJ203" s="36"/>
      <c r="CK203" s="36"/>
      <c r="CL203" s="36"/>
      <c r="CM203" s="37"/>
      <c r="CN203" s="36"/>
      <c r="CO203" s="36"/>
      <c r="CP203" s="36"/>
      <c r="CQ203" s="36"/>
      <c r="CR203" s="36"/>
      <c r="CS203" s="36"/>
      <c r="CT203" s="36"/>
      <c r="CU203" s="36"/>
      <c r="CV203" s="36"/>
      <c r="CW203" s="36"/>
      <c r="CX203" s="36"/>
      <c r="CY203" s="36"/>
      <c r="CZ203" s="36"/>
      <c r="DA203" s="36"/>
      <c r="DB203" s="36"/>
      <c r="DC203" s="36"/>
      <c r="DD203" s="36"/>
      <c r="DE203" s="36"/>
      <c r="DF203" s="36"/>
      <c r="DG203" s="36"/>
      <c r="DH203" s="36"/>
      <c r="DI203" s="36"/>
      <c r="DJ203" s="36"/>
      <c r="DK203" s="36"/>
      <c r="DL203" s="36"/>
      <c r="DM203" s="36"/>
      <c r="DN203" s="36"/>
      <c r="DO203" s="36"/>
      <c r="DP203" s="36"/>
      <c r="DQ203" s="36"/>
      <c r="DR203" s="36"/>
      <c r="DS203" s="36"/>
      <c r="DT203" s="36"/>
      <c r="DU203" s="36"/>
      <c r="DV203" s="36"/>
      <c r="DW203" s="36"/>
      <c r="DX203" s="36"/>
      <c r="DY203" s="36"/>
    </row>
    <row r="204" spans="84:129" ht="9" customHeight="1" x14ac:dyDescent="0.2">
      <c r="CF204" s="36"/>
      <c r="CG204" s="36"/>
      <c r="CH204" s="36"/>
      <c r="CI204" s="36"/>
      <c r="CJ204" s="36"/>
      <c r="CK204" s="36"/>
      <c r="CL204" s="36"/>
      <c r="CM204" s="37"/>
      <c r="CN204" s="36"/>
      <c r="CO204" s="36"/>
      <c r="CP204" s="36"/>
      <c r="CQ204" s="36"/>
      <c r="CR204" s="36"/>
      <c r="CS204" s="36"/>
      <c r="CT204" s="36"/>
      <c r="CU204" s="36"/>
      <c r="CV204" s="36"/>
      <c r="CW204" s="36"/>
      <c r="CX204" s="36"/>
      <c r="CY204" s="36"/>
      <c r="CZ204" s="36"/>
      <c r="DA204" s="36"/>
      <c r="DB204" s="36"/>
      <c r="DC204" s="36"/>
      <c r="DD204" s="36"/>
      <c r="DE204" s="36"/>
      <c r="DF204" s="36"/>
      <c r="DG204" s="36"/>
      <c r="DH204" s="36"/>
      <c r="DI204" s="36"/>
      <c r="DJ204" s="36"/>
      <c r="DK204" s="36"/>
      <c r="DL204" s="36"/>
      <c r="DM204" s="36"/>
      <c r="DN204" s="36"/>
      <c r="DO204" s="36"/>
      <c r="DP204" s="36"/>
      <c r="DQ204" s="36"/>
      <c r="DR204" s="36"/>
      <c r="DS204" s="36"/>
      <c r="DT204" s="36"/>
      <c r="DU204" s="36"/>
      <c r="DV204" s="36"/>
      <c r="DW204" s="36"/>
      <c r="DX204" s="36"/>
      <c r="DY204" s="36"/>
    </row>
    <row r="205" spans="84:129" ht="9" customHeight="1" x14ac:dyDescent="0.2">
      <c r="CF205" s="36"/>
      <c r="CG205" s="36"/>
      <c r="CH205" s="36"/>
      <c r="CI205" s="36"/>
      <c r="CJ205" s="36"/>
      <c r="CK205" s="36"/>
      <c r="CL205" s="36"/>
      <c r="CM205" s="37"/>
      <c r="CN205" s="36"/>
      <c r="CO205" s="36"/>
      <c r="CP205" s="36"/>
      <c r="CQ205" s="36"/>
      <c r="CR205" s="36"/>
      <c r="CS205" s="36"/>
      <c r="CT205" s="36"/>
      <c r="CU205" s="36"/>
      <c r="CV205" s="36"/>
      <c r="CW205" s="36"/>
      <c r="CX205" s="36"/>
      <c r="CY205" s="36"/>
      <c r="CZ205" s="36"/>
      <c r="DA205" s="36"/>
      <c r="DB205" s="36"/>
      <c r="DC205" s="36"/>
      <c r="DD205" s="36"/>
      <c r="DE205" s="36"/>
      <c r="DF205" s="36"/>
      <c r="DG205" s="36"/>
      <c r="DH205" s="36"/>
      <c r="DI205" s="36"/>
      <c r="DJ205" s="36"/>
      <c r="DK205" s="36"/>
      <c r="DL205" s="36"/>
      <c r="DM205" s="36"/>
      <c r="DN205" s="36"/>
      <c r="DO205" s="36"/>
      <c r="DP205" s="36"/>
      <c r="DQ205" s="36"/>
      <c r="DR205" s="36"/>
      <c r="DS205" s="36"/>
      <c r="DT205" s="36"/>
      <c r="DU205" s="36"/>
      <c r="DV205" s="36"/>
      <c r="DW205" s="36"/>
      <c r="DX205" s="36"/>
      <c r="DY205" s="36"/>
    </row>
    <row r="206" spans="84:129" ht="9" customHeight="1" x14ac:dyDescent="0.2">
      <c r="CF206" s="36"/>
      <c r="CG206" s="36"/>
      <c r="CH206" s="36"/>
      <c r="CI206" s="36"/>
      <c r="CJ206" s="36"/>
      <c r="CK206" s="36"/>
      <c r="CL206" s="36"/>
      <c r="CM206" s="37"/>
      <c r="CN206" s="36"/>
      <c r="CO206" s="36"/>
      <c r="CP206" s="36"/>
      <c r="CQ206" s="36"/>
      <c r="CR206" s="36"/>
      <c r="CS206" s="36"/>
      <c r="CT206" s="36"/>
      <c r="CU206" s="36"/>
      <c r="CV206" s="36"/>
      <c r="CW206" s="36"/>
      <c r="CX206" s="36"/>
      <c r="CY206" s="36"/>
      <c r="CZ206" s="36"/>
      <c r="DA206" s="36"/>
      <c r="DB206" s="36"/>
      <c r="DC206" s="36"/>
      <c r="DD206" s="36"/>
      <c r="DE206" s="36"/>
      <c r="DF206" s="36"/>
      <c r="DG206" s="36"/>
      <c r="DH206" s="36"/>
      <c r="DI206" s="36"/>
      <c r="DJ206" s="36"/>
      <c r="DK206" s="36"/>
      <c r="DL206" s="36"/>
      <c r="DM206" s="36"/>
      <c r="DN206" s="36"/>
      <c r="DO206" s="36"/>
      <c r="DP206" s="36"/>
      <c r="DQ206" s="36"/>
      <c r="DR206" s="36"/>
      <c r="DS206" s="36"/>
      <c r="DT206" s="36"/>
      <c r="DU206" s="36"/>
      <c r="DV206" s="36"/>
      <c r="DW206" s="36"/>
      <c r="DX206" s="36"/>
      <c r="DY206" s="36"/>
    </row>
    <row r="207" spans="84:129" ht="9" customHeight="1" x14ac:dyDescent="0.2">
      <c r="CF207" s="36"/>
      <c r="CG207" s="36"/>
      <c r="CH207" s="36"/>
      <c r="CI207" s="36"/>
      <c r="CJ207" s="36"/>
      <c r="CK207" s="36"/>
      <c r="CL207" s="36"/>
      <c r="CM207" s="37"/>
      <c r="CN207" s="36"/>
      <c r="CO207" s="36"/>
      <c r="CP207" s="36"/>
      <c r="CQ207" s="36"/>
      <c r="CR207" s="36"/>
      <c r="CS207" s="36"/>
      <c r="CT207" s="36"/>
      <c r="CU207" s="36"/>
      <c r="CV207" s="36"/>
      <c r="CW207" s="36"/>
      <c r="CX207" s="36"/>
      <c r="CY207" s="36"/>
      <c r="CZ207" s="36"/>
      <c r="DA207" s="36"/>
      <c r="DB207" s="36"/>
      <c r="DC207" s="36"/>
      <c r="DD207" s="36"/>
      <c r="DE207" s="36"/>
      <c r="DF207" s="36"/>
      <c r="DG207" s="36"/>
      <c r="DH207" s="36"/>
      <c r="DI207" s="36"/>
      <c r="DJ207" s="36"/>
      <c r="DK207" s="36"/>
      <c r="DL207" s="36"/>
      <c r="DM207" s="36"/>
      <c r="DN207" s="36"/>
      <c r="DO207" s="36"/>
      <c r="DP207" s="36"/>
      <c r="DQ207" s="36"/>
      <c r="DR207" s="36"/>
      <c r="DS207" s="36"/>
      <c r="DT207" s="36"/>
      <c r="DU207" s="36"/>
      <c r="DV207" s="36"/>
      <c r="DW207" s="36"/>
      <c r="DX207" s="36"/>
      <c r="DY207" s="36"/>
    </row>
    <row r="208" spans="84:129" ht="9" customHeight="1" x14ac:dyDescent="0.2">
      <c r="CF208" s="36"/>
      <c r="CG208" s="36"/>
      <c r="CH208" s="36"/>
      <c r="CI208" s="36"/>
      <c r="CJ208" s="36"/>
      <c r="CK208" s="36"/>
      <c r="CL208" s="36"/>
      <c r="CM208" s="37"/>
      <c r="CN208" s="36"/>
      <c r="CO208" s="36"/>
      <c r="CP208" s="36"/>
      <c r="CQ208" s="36"/>
      <c r="CR208" s="36"/>
      <c r="CS208" s="36"/>
      <c r="CT208" s="36"/>
      <c r="CU208" s="36"/>
      <c r="CV208" s="36"/>
      <c r="CW208" s="36"/>
      <c r="CX208" s="36"/>
      <c r="CY208" s="36"/>
      <c r="CZ208" s="36"/>
      <c r="DA208" s="36"/>
      <c r="DB208" s="36"/>
      <c r="DC208" s="36"/>
      <c r="DD208" s="36"/>
      <c r="DE208" s="36"/>
      <c r="DF208" s="36"/>
      <c r="DG208" s="36"/>
      <c r="DH208" s="36"/>
      <c r="DI208" s="36"/>
      <c r="DJ208" s="36"/>
      <c r="DK208" s="36"/>
      <c r="DL208" s="36"/>
      <c r="DM208" s="36"/>
      <c r="DN208" s="36"/>
      <c r="DO208" s="36"/>
      <c r="DP208" s="36"/>
      <c r="DQ208" s="36"/>
      <c r="DR208" s="36"/>
      <c r="DS208" s="36"/>
      <c r="DT208" s="36"/>
      <c r="DU208" s="36"/>
      <c r="DV208" s="36"/>
      <c r="DW208" s="36"/>
      <c r="DX208" s="36"/>
      <c r="DY208" s="36"/>
    </row>
    <row r="209" spans="84:129" ht="9" customHeight="1" x14ac:dyDescent="0.2">
      <c r="CF209" s="36"/>
      <c r="CG209" s="36"/>
      <c r="CH209" s="36"/>
      <c r="CI209" s="36"/>
      <c r="CJ209" s="36"/>
      <c r="CK209" s="36"/>
      <c r="CL209" s="36"/>
      <c r="CM209" s="37"/>
      <c r="CN209" s="36"/>
      <c r="CO209" s="36"/>
      <c r="CP209" s="36"/>
      <c r="CQ209" s="36"/>
      <c r="CR209" s="36"/>
      <c r="CS209" s="36"/>
      <c r="CT209" s="36"/>
      <c r="CU209" s="36"/>
      <c r="CV209" s="36"/>
      <c r="CW209" s="36"/>
      <c r="CX209" s="36"/>
      <c r="CY209" s="36"/>
      <c r="CZ209" s="36"/>
      <c r="DA209" s="36"/>
      <c r="DB209" s="36"/>
      <c r="DC209" s="36"/>
      <c r="DD209" s="36"/>
      <c r="DE209" s="36"/>
      <c r="DF209" s="36"/>
      <c r="DG209" s="36"/>
      <c r="DH209" s="36"/>
      <c r="DI209" s="36"/>
      <c r="DJ209" s="36"/>
      <c r="DK209" s="36"/>
      <c r="DL209" s="36"/>
      <c r="DM209" s="36"/>
      <c r="DN209" s="36"/>
      <c r="DO209" s="36"/>
      <c r="DP209" s="36"/>
      <c r="DQ209" s="36"/>
      <c r="DR209" s="36"/>
      <c r="DS209" s="36"/>
      <c r="DT209" s="36"/>
      <c r="DU209" s="36"/>
      <c r="DV209" s="36"/>
      <c r="DW209" s="36"/>
      <c r="DX209" s="36"/>
      <c r="DY209" s="36"/>
    </row>
    <row r="210" spans="84:129" ht="9" customHeight="1" x14ac:dyDescent="0.2">
      <c r="CF210" s="36"/>
      <c r="CG210" s="36"/>
      <c r="CH210" s="36"/>
      <c r="CI210" s="36"/>
      <c r="CJ210" s="36"/>
      <c r="CK210" s="36"/>
      <c r="CL210" s="36"/>
      <c r="CM210" s="37"/>
      <c r="CN210" s="36"/>
      <c r="CO210" s="36"/>
      <c r="CP210" s="36"/>
      <c r="CQ210" s="36"/>
      <c r="CR210" s="36"/>
      <c r="CS210" s="36"/>
      <c r="CT210" s="36"/>
      <c r="CU210" s="36"/>
      <c r="CV210" s="36"/>
      <c r="CW210" s="36"/>
      <c r="CX210" s="36"/>
      <c r="CY210" s="36"/>
      <c r="CZ210" s="36"/>
      <c r="DA210" s="36"/>
      <c r="DB210" s="36"/>
      <c r="DC210" s="36"/>
      <c r="DD210" s="36"/>
      <c r="DE210" s="36"/>
      <c r="DF210" s="36"/>
      <c r="DG210" s="36"/>
      <c r="DH210" s="36"/>
      <c r="DI210" s="36"/>
      <c r="DJ210" s="36"/>
      <c r="DK210" s="36"/>
      <c r="DL210" s="36"/>
      <c r="DM210" s="36"/>
      <c r="DN210" s="36"/>
      <c r="DO210" s="36"/>
      <c r="DP210" s="36"/>
      <c r="DQ210" s="36"/>
      <c r="DR210" s="36"/>
      <c r="DS210" s="36"/>
      <c r="DT210" s="36"/>
      <c r="DU210" s="36"/>
      <c r="DV210" s="36"/>
      <c r="DW210" s="36"/>
      <c r="DX210" s="36"/>
      <c r="DY210" s="36"/>
    </row>
    <row r="211" spans="84:129" ht="9" customHeight="1" x14ac:dyDescent="0.2">
      <c r="CF211" s="36"/>
      <c r="CG211" s="36"/>
      <c r="CH211" s="36"/>
      <c r="CI211" s="36"/>
      <c r="CJ211" s="36"/>
      <c r="CK211" s="36"/>
      <c r="CL211" s="36"/>
      <c r="CM211" s="37"/>
      <c r="CN211" s="36"/>
      <c r="CO211" s="36"/>
      <c r="CP211" s="36"/>
      <c r="CQ211" s="36"/>
      <c r="CR211" s="36"/>
      <c r="CS211" s="36"/>
      <c r="CT211" s="36"/>
      <c r="CU211" s="36"/>
      <c r="CV211" s="36"/>
      <c r="CW211" s="36"/>
      <c r="CX211" s="36"/>
      <c r="CY211" s="36"/>
      <c r="CZ211" s="36"/>
      <c r="DA211" s="36"/>
      <c r="DB211" s="36"/>
      <c r="DC211" s="36"/>
      <c r="DD211" s="36"/>
      <c r="DE211" s="36"/>
      <c r="DF211" s="36"/>
      <c r="DG211" s="36"/>
      <c r="DH211" s="36"/>
      <c r="DI211" s="36"/>
      <c r="DJ211" s="36"/>
      <c r="DK211" s="36"/>
      <c r="DL211" s="36"/>
      <c r="DM211" s="36"/>
      <c r="DN211" s="36"/>
      <c r="DO211" s="36"/>
      <c r="DP211" s="36"/>
      <c r="DQ211" s="36"/>
      <c r="DR211" s="36"/>
      <c r="DS211" s="36"/>
      <c r="DT211" s="36"/>
      <c r="DU211" s="36"/>
      <c r="DV211" s="36"/>
      <c r="DW211" s="36"/>
      <c r="DX211" s="36"/>
      <c r="DY211" s="36"/>
    </row>
    <row r="212" spans="84:129" ht="9" customHeight="1" x14ac:dyDescent="0.2">
      <c r="CF212" s="36"/>
      <c r="CG212" s="36"/>
      <c r="CH212" s="36"/>
      <c r="CI212" s="36"/>
      <c r="CJ212" s="36"/>
      <c r="CK212" s="36"/>
      <c r="CL212" s="36"/>
      <c r="CM212" s="37"/>
      <c r="CN212" s="36"/>
      <c r="CO212" s="36"/>
      <c r="CP212" s="36"/>
      <c r="CQ212" s="36"/>
      <c r="CR212" s="36"/>
      <c r="CS212" s="36"/>
      <c r="CT212" s="36"/>
      <c r="CU212" s="36"/>
      <c r="CV212" s="36"/>
      <c r="CW212" s="36"/>
      <c r="CX212" s="36"/>
      <c r="CY212" s="36"/>
      <c r="CZ212" s="36"/>
      <c r="DA212" s="36"/>
      <c r="DB212" s="36"/>
      <c r="DC212" s="36"/>
      <c r="DD212" s="36"/>
      <c r="DE212" s="36"/>
      <c r="DF212" s="36"/>
      <c r="DG212" s="36"/>
      <c r="DH212" s="36"/>
      <c r="DI212" s="36"/>
      <c r="DJ212" s="36"/>
      <c r="DK212" s="36"/>
      <c r="DL212" s="36"/>
      <c r="DM212" s="36"/>
      <c r="DN212" s="36"/>
      <c r="DO212" s="36"/>
      <c r="DP212" s="36"/>
      <c r="DQ212" s="36"/>
      <c r="DR212" s="36"/>
      <c r="DS212" s="36"/>
      <c r="DT212" s="36"/>
      <c r="DU212" s="36"/>
      <c r="DV212" s="36"/>
      <c r="DW212" s="36"/>
      <c r="DX212" s="36"/>
      <c r="DY212" s="36"/>
    </row>
    <row r="213" spans="84:129" ht="9" customHeight="1" x14ac:dyDescent="0.2">
      <c r="CF213" s="36"/>
      <c r="CG213" s="36"/>
      <c r="CH213" s="36"/>
      <c r="CI213" s="36"/>
      <c r="CJ213" s="36"/>
      <c r="CK213" s="36"/>
      <c r="CL213" s="36"/>
      <c r="CM213" s="37"/>
      <c r="CN213" s="36"/>
      <c r="CO213" s="36"/>
      <c r="CP213" s="36"/>
      <c r="CQ213" s="36"/>
      <c r="CR213" s="36"/>
      <c r="CS213" s="36"/>
      <c r="CT213" s="36"/>
      <c r="CU213" s="36"/>
      <c r="CV213" s="36"/>
      <c r="CW213" s="36"/>
      <c r="CX213" s="36"/>
      <c r="CY213" s="36"/>
      <c r="CZ213" s="36"/>
      <c r="DA213" s="36"/>
      <c r="DB213" s="36"/>
      <c r="DC213" s="36"/>
      <c r="DD213" s="36"/>
      <c r="DE213" s="36"/>
      <c r="DF213" s="36"/>
      <c r="DG213" s="36"/>
      <c r="DH213" s="36"/>
      <c r="DI213" s="36"/>
      <c r="DJ213" s="36"/>
      <c r="DK213" s="36"/>
      <c r="DL213" s="36"/>
      <c r="DM213" s="36"/>
      <c r="DN213" s="36"/>
      <c r="DO213" s="36"/>
      <c r="DP213" s="36"/>
      <c r="DQ213" s="36"/>
      <c r="DR213" s="36"/>
      <c r="DS213" s="36"/>
      <c r="DT213" s="36"/>
      <c r="DU213" s="36"/>
      <c r="DV213" s="36"/>
      <c r="DW213" s="36"/>
      <c r="DX213" s="36"/>
      <c r="DY213" s="36"/>
    </row>
    <row r="214" spans="84:129" ht="9" customHeight="1" x14ac:dyDescent="0.2">
      <c r="CF214" s="36"/>
      <c r="CG214" s="36"/>
      <c r="CH214" s="36"/>
      <c r="CI214" s="36"/>
      <c r="CJ214" s="36"/>
      <c r="CK214" s="36"/>
      <c r="CL214" s="36"/>
      <c r="CM214" s="37"/>
      <c r="CN214" s="36"/>
      <c r="CO214" s="36"/>
      <c r="CP214" s="36"/>
      <c r="CQ214" s="36"/>
      <c r="CR214" s="36"/>
      <c r="CS214" s="36"/>
      <c r="CT214" s="36"/>
      <c r="CU214" s="36"/>
      <c r="CV214" s="36"/>
      <c r="CW214" s="36"/>
      <c r="CX214" s="36"/>
      <c r="CY214" s="36"/>
      <c r="CZ214" s="36"/>
      <c r="DA214" s="36"/>
      <c r="DB214" s="36"/>
      <c r="DC214" s="36"/>
      <c r="DD214" s="36"/>
      <c r="DE214" s="36"/>
      <c r="DF214" s="36"/>
      <c r="DG214" s="36"/>
      <c r="DH214" s="36"/>
      <c r="DI214" s="36"/>
      <c r="DJ214" s="36"/>
      <c r="DK214" s="36"/>
      <c r="DL214" s="36"/>
      <c r="DM214" s="36"/>
      <c r="DN214" s="36"/>
      <c r="DO214" s="36"/>
      <c r="DP214" s="36"/>
      <c r="DQ214" s="36"/>
      <c r="DR214" s="36"/>
      <c r="DS214" s="36"/>
      <c r="DT214" s="36"/>
      <c r="DU214" s="36"/>
      <c r="DV214" s="36"/>
      <c r="DW214" s="36"/>
      <c r="DX214" s="36"/>
      <c r="DY214" s="36"/>
    </row>
    <row r="215" spans="84:129" ht="9" customHeight="1" x14ac:dyDescent="0.2">
      <c r="CF215" s="36"/>
      <c r="CG215" s="36"/>
      <c r="CH215" s="36"/>
      <c r="CI215" s="36"/>
      <c r="CJ215" s="36"/>
      <c r="CK215" s="36"/>
      <c r="CL215" s="36"/>
      <c r="CM215" s="37"/>
      <c r="CN215" s="36"/>
      <c r="CO215" s="36"/>
      <c r="CP215" s="36"/>
      <c r="CQ215" s="36"/>
      <c r="CR215" s="36"/>
      <c r="CS215" s="36"/>
      <c r="CT215" s="36"/>
      <c r="CU215" s="36"/>
      <c r="CV215" s="36"/>
      <c r="CW215" s="36"/>
      <c r="CX215" s="36"/>
      <c r="CY215" s="36"/>
      <c r="CZ215" s="36"/>
      <c r="DA215" s="36"/>
      <c r="DB215" s="36"/>
      <c r="DC215" s="36"/>
      <c r="DD215" s="36"/>
      <c r="DE215" s="36"/>
      <c r="DF215" s="36"/>
      <c r="DG215" s="36"/>
      <c r="DH215" s="36"/>
      <c r="DI215" s="36"/>
      <c r="DJ215" s="36"/>
      <c r="DK215" s="36"/>
      <c r="DL215" s="36"/>
      <c r="DM215" s="36"/>
      <c r="DN215" s="36"/>
      <c r="DO215" s="36"/>
      <c r="DP215" s="36"/>
      <c r="DQ215" s="36"/>
      <c r="DR215" s="36"/>
      <c r="DS215" s="36"/>
      <c r="DT215" s="36"/>
      <c r="DU215" s="36"/>
      <c r="DV215" s="36"/>
      <c r="DW215" s="36"/>
      <c r="DX215" s="36"/>
      <c r="DY215" s="36"/>
    </row>
    <row r="216" spans="84:129" ht="9" customHeight="1" x14ac:dyDescent="0.2">
      <c r="CF216" s="36"/>
      <c r="CG216" s="36"/>
      <c r="CH216" s="36"/>
      <c r="CI216" s="36"/>
      <c r="CJ216" s="36"/>
      <c r="CK216" s="36"/>
      <c r="CL216" s="36"/>
      <c r="CM216" s="37"/>
      <c r="CN216" s="36"/>
      <c r="CO216" s="36"/>
      <c r="CP216" s="36"/>
      <c r="CQ216" s="36"/>
      <c r="CR216" s="36"/>
      <c r="CS216" s="36"/>
      <c r="CT216" s="36"/>
      <c r="CU216" s="36"/>
      <c r="CV216" s="36"/>
      <c r="CW216" s="36"/>
      <c r="CX216" s="36"/>
      <c r="CY216" s="36"/>
      <c r="CZ216" s="36"/>
      <c r="DA216" s="36"/>
      <c r="DB216" s="36"/>
      <c r="DC216" s="36"/>
      <c r="DD216" s="36"/>
      <c r="DE216" s="36"/>
      <c r="DF216" s="36"/>
      <c r="DG216" s="36"/>
      <c r="DH216" s="36"/>
      <c r="DI216" s="36"/>
      <c r="DJ216" s="36"/>
      <c r="DK216" s="36"/>
      <c r="DL216" s="36"/>
      <c r="DM216" s="36"/>
      <c r="DN216" s="36"/>
      <c r="DO216" s="36"/>
      <c r="DP216" s="36"/>
      <c r="DQ216" s="36"/>
      <c r="DR216" s="36"/>
      <c r="DS216" s="36"/>
      <c r="DT216" s="36"/>
      <c r="DU216" s="36"/>
      <c r="DV216" s="36"/>
      <c r="DW216" s="36"/>
      <c r="DX216" s="36"/>
      <c r="DY216" s="36"/>
    </row>
    <row r="217" spans="84:129" ht="9" customHeight="1" x14ac:dyDescent="0.2">
      <c r="CF217" s="36"/>
      <c r="CG217" s="36"/>
      <c r="CH217" s="36"/>
      <c r="CI217" s="36"/>
      <c r="CJ217" s="36"/>
      <c r="CK217" s="36"/>
      <c r="CL217" s="36"/>
      <c r="CM217" s="37"/>
      <c r="CN217" s="36"/>
      <c r="CO217" s="36"/>
      <c r="CP217" s="36"/>
      <c r="CQ217" s="36"/>
      <c r="CR217" s="36"/>
      <c r="CS217" s="36"/>
      <c r="CT217" s="36"/>
      <c r="CU217" s="36"/>
      <c r="CV217" s="36"/>
      <c r="CW217" s="36"/>
      <c r="CX217" s="36"/>
      <c r="CY217" s="36"/>
      <c r="CZ217" s="36"/>
      <c r="DA217" s="36"/>
      <c r="DB217" s="36"/>
      <c r="DC217" s="36"/>
      <c r="DD217" s="36"/>
      <c r="DE217" s="36"/>
      <c r="DF217" s="36"/>
      <c r="DG217" s="36"/>
      <c r="DH217" s="36"/>
      <c r="DI217" s="36"/>
      <c r="DJ217" s="36"/>
      <c r="DK217" s="36"/>
      <c r="DL217" s="36"/>
      <c r="DM217" s="36"/>
      <c r="DN217" s="36"/>
      <c r="DO217" s="36"/>
      <c r="DP217" s="36"/>
      <c r="DQ217" s="36"/>
      <c r="DR217" s="36"/>
      <c r="DS217" s="36"/>
      <c r="DT217" s="36"/>
      <c r="DU217" s="36"/>
      <c r="DV217" s="36"/>
      <c r="DW217" s="36"/>
      <c r="DX217" s="36"/>
      <c r="DY217" s="36"/>
    </row>
    <row r="218" spans="84:129" ht="9" customHeight="1" x14ac:dyDescent="0.2">
      <c r="CF218" s="36"/>
      <c r="CG218" s="36"/>
      <c r="CH218" s="36"/>
      <c r="CI218" s="36"/>
      <c r="CJ218" s="36"/>
      <c r="CK218" s="36"/>
      <c r="CL218" s="36"/>
      <c r="CM218" s="37"/>
      <c r="CN218" s="36"/>
      <c r="CO218" s="36"/>
      <c r="CP218" s="36"/>
      <c r="CQ218" s="36"/>
      <c r="CR218" s="36"/>
      <c r="CS218" s="36"/>
      <c r="CT218" s="36"/>
      <c r="CU218" s="36"/>
      <c r="CV218" s="36"/>
      <c r="CW218" s="36"/>
      <c r="CX218" s="36"/>
      <c r="CY218" s="36"/>
      <c r="CZ218" s="36"/>
      <c r="DA218" s="36"/>
      <c r="DB218" s="36"/>
      <c r="DC218" s="36"/>
      <c r="DD218" s="36"/>
      <c r="DE218" s="36"/>
      <c r="DF218" s="36"/>
      <c r="DG218" s="36"/>
      <c r="DH218" s="36"/>
      <c r="DI218" s="36"/>
      <c r="DJ218" s="36"/>
      <c r="DK218" s="36"/>
      <c r="DL218" s="36"/>
      <c r="DM218" s="36"/>
      <c r="DN218" s="36"/>
      <c r="DO218" s="36"/>
      <c r="DP218" s="36"/>
      <c r="DQ218" s="36"/>
      <c r="DR218" s="36"/>
      <c r="DS218" s="36"/>
      <c r="DT218" s="36"/>
      <c r="DU218" s="36"/>
      <c r="DV218" s="36"/>
      <c r="DW218" s="36"/>
      <c r="DX218" s="36"/>
      <c r="DY218" s="36"/>
    </row>
    <row r="219" spans="84:129" ht="9" customHeight="1" x14ac:dyDescent="0.2">
      <c r="CF219" s="36"/>
      <c r="CG219" s="36"/>
      <c r="CH219" s="36"/>
      <c r="CI219" s="36"/>
      <c r="CJ219" s="36"/>
      <c r="CK219" s="36"/>
      <c r="CL219" s="36"/>
      <c r="CM219" s="37"/>
      <c r="CN219" s="36"/>
      <c r="CO219" s="36"/>
      <c r="CP219" s="36"/>
      <c r="CQ219" s="36"/>
      <c r="CR219" s="36"/>
      <c r="CS219" s="36"/>
      <c r="CT219" s="36"/>
      <c r="CU219" s="36"/>
      <c r="CV219" s="36"/>
      <c r="CW219" s="36"/>
      <c r="CX219" s="36"/>
      <c r="CY219" s="36"/>
      <c r="CZ219" s="36"/>
      <c r="DA219" s="36"/>
      <c r="DB219" s="36"/>
      <c r="DC219" s="36"/>
      <c r="DD219" s="36"/>
      <c r="DE219" s="36"/>
      <c r="DF219" s="36"/>
      <c r="DG219" s="36"/>
      <c r="DH219" s="36"/>
      <c r="DI219" s="36"/>
      <c r="DJ219" s="36"/>
      <c r="DK219" s="36"/>
      <c r="DL219" s="36"/>
      <c r="DM219" s="36"/>
      <c r="DN219" s="36"/>
      <c r="DO219" s="36"/>
      <c r="DP219" s="36"/>
      <c r="DQ219" s="36"/>
      <c r="DR219" s="36"/>
      <c r="DS219" s="36"/>
      <c r="DT219" s="36"/>
      <c r="DU219" s="36"/>
      <c r="DV219" s="36"/>
      <c r="DW219" s="36"/>
      <c r="DX219" s="36"/>
      <c r="DY219" s="36"/>
    </row>
    <row r="220" spans="84:129" ht="9" customHeight="1" x14ac:dyDescent="0.2">
      <c r="CF220" s="36"/>
      <c r="CG220" s="36"/>
      <c r="CH220" s="36"/>
      <c r="CI220" s="36"/>
      <c r="CJ220" s="36"/>
      <c r="CK220" s="36"/>
      <c r="CL220" s="36"/>
      <c r="CM220" s="37"/>
      <c r="CN220" s="36"/>
      <c r="CO220" s="36"/>
      <c r="CP220" s="36"/>
      <c r="CQ220" s="36"/>
      <c r="CR220" s="36"/>
      <c r="CS220" s="36"/>
      <c r="CT220" s="36"/>
      <c r="CU220" s="36"/>
      <c r="CV220" s="36"/>
      <c r="CW220" s="36"/>
      <c r="CX220" s="36"/>
      <c r="CY220" s="36"/>
      <c r="CZ220" s="36"/>
      <c r="DA220" s="36"/>
      <c r="DB220" s="36"/>
      <c r="DC220" s="36"/>
      <c r="DD220" s="36"/>
      <c r="DE220" s="36"/>
      <c r="DF220" s="36"/>
      <c r="DG220" s="36"/>
      <c r="DH220" s="36"/>
      <c r="DI220" s="36"/>
      <c r="DJ220" s="36"/>
      <c r="DK220" s="36"/>
      <c r="DL220" s="36"/>
      <c r="DM220" s="36"/>
      <c r="DN220" s="36"/>
      <c r="DO220" s="36"/>
      <c r="DP220" s="36"/>
      <c r="DQ220" s="36"/>
      <c r="DR220" s="36"/>
      <c r="DS220" s="36"/>
      <c r="DT220" s="36"/>
      <c r="DU220" s="36"/>
      <c r="DV220" s="36"/>
      <c r="DW220" s="36"/>
      <c r="DX220" s="36"/>
      <c r="DY220" s="36"/>
    </row>
    <row r="221" spans="84:129" ht="9" customHeight="1" x14ac:dyDescent="0.2">
      <c r="CF221" s="36"/>
      <c r="CG221" s="36"/>
      <c r="CH221" s="36"/>
      <c r="CI221" s="36"/>
      <c r="CJ221" s="36"/>
      <c r="CK221" s="36"/>
      <c r="CL221" s="36"/>
      <c r="CM221" s="37"/>
      <c r="CN221" s="36"/>
      <c r="CO221" s="36"/>
      <c r="CP221" s="36"/>
      <c r="CQ221" s="36"/>
      <c r="CR221" s="36"/>
      <c r="CS221" s="36"/>
      <c r="CT221" s="36"/>
      <c r="CU221" s="36"/>
      <c r="CV221" s="36"/>
      <c r="CW221" s="36"/>
      <c r="CX221" s="36"/>
      <c r="CY221" s="36"/>
      <c r="CZ221" s="36"/>
      <c r="DA221" s="36"/>
      <c r="DB221" s="36"/>
      <c r="DC221" s="36"/>
      <c r="DD221" s="36"/>
      <c r="DE221" s="36"/>
      <c r="DF221" s="36"/>
      <c r="DG221" s="36"/>
      <c r="DH221" s="36"/>
      <c r="DI221" s="36"/>
      <c r="DJ221" s="36"/>
      <c r="DK221" s="36"/>
      <c r="DL221" s="36"/>
      <c r="DM221" s="36"/>
      <c r="DN221" s="36"/>
      <c r="DO221" s="36"/>
      <c r="DP221" s="36"/>
      <c r="DQ221" s="36"/>
      <c r="DR221" s="36"/>
      <c r="DS221" s="36"/>
      <c r="DT221" s="36"/>
      <c r="DU221" s="36"/>
      <c r="DV221" s="36"/>
      <c r="DW221" s="36"/>
      <c r="DX221" s="36"/>
      <c r="DY221" s="36"/>
    </row>
    <row r="222" spans="84:129" ht="9" customHeight="1" x14ac:dyDescent="0.2">
      <c r="CF222" s="36"/>
      <c r="CG222" s="36"/>
      <c r="CH222" s="36"/>
      <c r="CI222" s="36"/>
      <c r="CJ222" s="36"/>
      <c r="CK222" s="36"/>
      <c r="CL222" s="36"/>
      <c r="CM222" s="37"/>
      <c r="CN222" s="36"/>
      <c r="CO222" s="36"/>
      <c r="CP222" s="36"/>
      <c r="CQ222" s="36"/>
      <c r="CR222" s="36"/>
      <c r="CS222" s="36"/>
      <c r="CT222" s="36"/>
      <c r="CU222" s="36"/>
      <c r="CV222" s="36"/>
      <c r="CW222" s="36"/>
      <c r="CX222" s="36"/>
      <c r="CY222" s="36"/>
      <c r="CZ222" s="36"/>
      <c r="DA222" s="36"/>
      <c r="DB222" s="36"/>
      <c r="DC222" s="36"/>
      <c r="DD222" s="36"/>
      <c r="DE222" s="36"/>
      <c r="DF222" s="36"/>
      <c r="DG222" s="36"/>
      <c r="DH222" s="36"/>
      <c r="DI222" s="36"/>
      <c r="DJ222" s="36"/>
      <c r="DK222" s="36"/>
      <c r="DL222" s="36"/>
      <c r="DM222" s="36"/>
      <c r="DN222" s="36"/>
      <c r="DO222" s="36"/>
      <c r="DP222" s="36"/>
      <c r="DQ222" s="36"/>
      <c r="DR222" s="36"/>
      <c r="DS222" s="36"/>
      <c r="DT222" s="36"/>
      <c r="DU222" s="36"/>
      <c r="DV222" s="36"/>
      <c r="DW222" s="36"/>
      <c r="DX222" s="36"/>
      <c r="DY222" s="36"/>
    </row>
    <row r="223" spans="84:129" ht="9" customHeight="1" x14ac:dyDescent="0.2">
      <c r="CF223" s="36"/>
      <c r="CG223" s="36"/>
      <c r="CH223" s="36"/>
      <c r="CI223" s="36"/>
      <c r="CJ223" s="36"/>
      <c r="CK223" s="36"/>
      <c r="CL223" s="36"/>
      <c r="CM223" s="37"/>
      <c r="CN223" s="36"/>
      <c r="CO223" s="36"/>
      <c r="CP223" s="36"/>
      <c r="CQ223" s="36"/>
      <c r="CR223" s="36"/>
      <c r="CS223" s="36"/>
      <c r="CT223" s="36"/>
      <c r="CU223" s="36"/>
      <c r="CV223" s="36"/>
      <c r="CW223" s="36"/>
      <c r="CX223" s="36"/>
      <c r="CY223" s="36"/>
      <c r="CZ223" s="36"/>
      <c r="DA223" s="36"/>
      <c r="DB223" s="36"/>
      <c r="DC223" s="36"/>
      <c r="DD223" s="36"/>
      <c r="DE223" s="36"/>
      <c r="DF223" s="36"/>
      <c r="DG223" s="36"/>
      <c r="DH223" s="36"/>
      <c r="DI223" s="36"/>
      <c r="DJ223" s="36"/>
      <c r="DK223" s="36"/>
      <c r="DL223" s="36"/>
      <c r="DM223" s="36"/>
      <c r="DN223" s="36"/>
      <c r="DO223" s="36"/>
      <c r="DP223" s="36"/>
      <c r="DQ223" s="36"/>
      <c r="DR223" s="36"/>
      <c r="DS223" s="36"/>
      <c r="DT223" s="36"/>
      <c r="DU223" s="36"/>
      <c r="DV223" s="36"/>
      <c r="DW223" s="36"/>
      <c r="DX223" s="36"/>
      <c r="DY223" s="36"/>
    </row>
    <row r="224" spans="84:129" ht="9" customHeight="1" x14ac:dyDescent="0.2">
      <c r="CF224" s="36"/>
      <c r="CG224" s="36"/>
      <c r="CH224" s="36"/>
      <c r="CI224" s="36"/>
      <c r="CJ224" s="36"/>
      <c r="CK224" s="36"/>
      <c r="CL224" s="36"/>
      <c r="CM224" s="37"/>
      <c r="CN224" s="36"/>
      <c r="CO224" s="36"/>
      <c r="CP224" s="36"/>
      <c r="CQ224" s="36"/>
      <c r="CR224" s="36"/>
      <c r="CS224" s="36"/>
      <c r="CT224" s="36"/>
      <c r="CU224" s="36"/>
      <c r="CV224" s="36"/>
      <c r="CW224" s="36"/>
      <c r="CX224" s="36"/>
      <c r="CY224" s="36"/>
      <c r="CZ224" s="36"/>
      <c r="DA224" s="36"/>
      <c r="DB224" s="36"/>
      <c r="DC224" s="36"/>
      <c r="DD224" s="36"/>
      <c r="DE224" s="36"/>
      <c r="DF224" s="36"/>
      <c r="DG224" s="36"/>
      <c r="DH224" s="36"/>
      <c r="DI224" s="36"/>
      <c r="DJ224" s="36"/>
      <c r="DK224" s="36"/>
      <c r="DL224" s="36"/>
      <c r="DM224" s="36"/>
      <c r="DN224" s="36"/>
      <c r="DO224" s="36"/>
      <c r="DP224" s="36"/>
      <c r="DQ224" s="36"/>
      <c r="DR224" s="36"/>
      <c r="DS224" s="36"/>
      <c r="DT224" s="36"/>
      <c r="DU224" s="36"/>
      <c r="DV224" s="36"/>
      <c r="DW224" s="36"/>
      <c r="DX224" s="36"/>
      <c r="DY224" s="36"/>
    </row>
    <row r="225" spans="84:129" ht="9" customHeight="1" x14ac:dyDescent="0.2">
      <c r="CF225" s="36"/>
      <c r="CG225" s="36"/>
      <c r="CH225" s="36"/>
      <c r="CI225" s="36"/>
      <c r="CJ225" s="36"/>
      <c r="CK225" s="36"/>
      <c r="CL225" s="36"/>
      <c r="CM225" s="37"/>
      <c r="CN225" s="36"/>
      <c r="CO225" s="36"/>
      <c r="CP225" s="36"/>
      <c r="CQ225" s="36"/>
      <c r="CR225" s="36"/>
      <c r="CS225" s="36"/>
      <c r="CT225" s="36"/>
      <c r="CU225" s="36"/>
      <c r="CV225" s="36"/>
      <c r="CW225" s="36"/>
      <c r="CX225" s="36"/>
      <c r="CY225" s="36"/>
      <c r="CZ225" s="36"/>
      <c r="DA225" s="36"/>
      <c r="DB225" s="36"/>
      <c r="DC225" s="36"/>
      <c r="DD225" s="36"/>
      <c r="DE225" s="36"/>
      <c r="DF225" s="36"/>
      <c r="DG225" s="36"/>
      <c r="DH225" s="36"/>
      <c r="DI225" s="36"/>
      <c r="DJ225" s="36"/>
      <c r="DK225" s="36"/>
      <c r="DL225" s="36"/>
      <c r="DM225" s="36"/>
      <c r="DN225" s="36"/>
      <c r="DO225" s="36"/>
      <c r="DP225" s="36"/>
      <c r="DQ225" s="36"/>
      <c r="DR225" s="36"/>
      <c r="DS225" s="36"/>
      <c r="DT225" s="36"/>
      <c r="DU225" s="36"/>
      <c r="DV225" s="36"/>
      <c r="DW225" s="36"/>
      <c r="DX225" s="36"/>
      <c r="DY225" s="36"/>
    </row>
    <row r="226" spans="84:129" ht="9" customHeight="1" x14ac:dyDescent="0.2">
      <c r="CF226" s="36"/>
      <c r="CG226" s="36"/>
      <c r="CH226" s="36"/>
      <c r="CI226" s="36"/>
      <c r="CJ226" s="36"/>
      <c r="CK226" s="36"/>
      <c r="CL226" s="36"/>
      <c r="CM226" s="37"/>
      <c r="CN226" s="36"/>
      <c r="CO226" s="36"/>
      <c r="CP226" s="36"/>
      <c r="CQ226" s="36"/>
      <c r="CR226" s="36"/>
      <c r="CS226" s="36"/>
      <c r="CT226" s="36"/>
      <c r="CU226" s="36"/>
      <c r="CV226" s="36"/>
      <c r="CW226" s="36"/>
      <c r="CX226" s="36"/>
      <c r="CY226" s="36"/>
      <c r="CZ226" s="36"/>
      <c r="DA226" s="36"/>
      <c r="DB226" s="36"/>
      <c r="DC226" s="36"/>
      <c r="DD226" s="36"/>
      <c r="DE226" s="36"/>
      <c r="DF226" s="36"/>
      <c r="DG226" s="36"/>
      <c r="DH226" s="36"/>
      <c r="DI226" s="36"/>
      <c r="DJ226" s="36"/>
      <c r="DK226" s="36"/>
      <c r="DL226" s="36"/>
      <c r="DM226" s="36"/>
      <c r="DN226" s="36"/>
      <c r="DO226" s="36"/>
      <c r="DP226" s="36"/>
      <c r="DQ226" s="36"/>
      <c r="DR226" s="36"/>
      <c r="DS226" s="36"/>
      <c r="DT226" s="36"/>
      <c r="DU226" s="36"/>
      <c r="DV226" s="36"/>
      <c r="DW226" s="36"/>
      <c r="DX226" s="36"/>
      <c r="DY226" s="36"/>
    </row>
    <row r="227" spans="84:129" ht="9" customHeight="1" x14ac:dyDescent="0.2">
      <c r="CF227" s="36"/>
      <c r="CG227" s="36"/>
      <c r="CH227" s="36"/>
      <c r="CI227" s="36"/>
      <c r="CJ227" s="36"/>
      <c r="CK227" s="36"/>
      <c r="CL227" s="36"/>
      <c r="CM227" s="37"/>
      <c r="CN227" s="36"/>
      <c r="CO227" s="36"/>
      <c r="CP227" s="36"/>
      <c r="CQ227" s="36"/>
      <c r="CR227" s="36"/>
      <c r="CS227" s="36"/>
      <c r="CT227" s="36"/>
      <c r="CU227" s="36"/>
      <c r="CV227" s="36"/>
      <c r="CW227" s="36"/>
      <c r="CX227" s="36"/>
      <c r="CY227" s="36"/>
      <c r="CZ227" s="36"/>
      <c r="DA227" s="36"/>
      <c r="DB227" s="36"/>
      <c r="DC227" s="36"/>
      <c r="DD227" s="36"/>
      <c r="DE227" s="36"/>
      <c r="DF227" s="36"/>
      <c r="DG227" s="36"/>
      <c r="DH227" s="36"/>
      <c r="DI227" s="36"/>
      <c r="DJ227" s="36"/>
      <c r="DK227" s="36"/>
      <c r="DL227" s="36"/>
      <c r="DM227" s="36"/>
      <c r="DN227" s="36"/>
      <c r="DO227" s="36"/>
      <c r="DP227" s="36"/>
      <c r="DQ227" s="36"/>
      <c r="DR227" s="36"/>
      <c r="DS227" s="36"/>
      <c r="DT227" s="36"/>
      <c r="DU227" s="36"/>
      <c r="DV227" s="36"/>
      <c r="DW227" s="36"/>
      <c r="DX227" s="36"/>
      <c r="DY227" s="36"/>
    </row>
    <row r="228" spans="84:129" ht="9" customHeight="1" x14ac:dyDescent="0.2">
      <c r="CF228" s="36"/>
      <c r="CG228" s="36"/>
      <c r="CH228" s="36"/>
      <c r="CI228" s="36"/>
      <c r="CJ228" s="36"/>
      <c r="CK228" s="36"/>
      <c r="CL228" s="36"/>
      <c r="CM228" s="37"/>
      <c r="CN228" s="36"/>
      <c r="CO228" s="36"/>
      <c r="CP228" s="36"/>
      <c r="CQ228" s="36"/>
      <c r="CR228" s="36"/>
      <c r="CS228" s="36"/>
      <c r="CT228" s="36"/>
      <c r="CU228" s="36"/>
      <c r="CV228" s="36"/>
      <c r="CW228" s="36"/>
      <c r="CX228" s="36"/>
      <c r="CY228" s="36"/>
      <c r="CZ228" s="36"/>
      <c r="DA228" s="36"/>
      <c r="DB228" s="36"/>
      <c r="DC228" s="36"/>
      <c r="DD228" s="36"/>
      <c r="DE228" s="36"/>
      <c r="DF228" s="36"/>
      <c r="DG228" s="36"/>
      <c r="DH228" s="36"/>
      <c r="DI228" s="36"/>
      <c r="DJ228" s="36"/>
      <c r="DK228" s="36"/>
      <c r="DL228" s="36"/>
      <c r="DM228" s="36"/>
      <c r="DN228" s="36"/>
      <c r="DO228" s="36"/>
      <c r="DP228" s="36"/>
      <c r="DQ228" s="36"/>
      <c r="DR228" s="36"/>
      <c r="DS228" s="36"/>
      <c r="DT228" s="36"/>
      <c r="DU228" s="36"/>
      <c r="DV228" s="36"/>
      <c r="DW228" s="36"/>
      <c r="DX228" s="36"/>
      <c r="DY228" s="36"/>
    </row>
    <row r="229" spans="84:129" ht="9" customHeight="1" x14ac:dyDescent="0.2">
      <c r="CF229" s="36"/>
      <c r="CG229" s="36"/>
      <c r="CH229" s="36"/>
      <c r="CI229" s="36"/>
      <c r="CJ229" s="36"/>
      <c r="CK229" s="36"/>
      <c r="CL229" s="36"/>
      <c r="CM229" s="37"/>
      <c r="CN229" s="36"/>
      <c r="CO229" s="36"/>
      <c r="CP229" s="36"/>
      <c r="CQ229" s="36"/>
      <c r="CR229" s="36"/>
      <c r="CS229" s="36"/>
      <c r="CT229" s="36"/>
      <c r="CU229" s="36"/>
      <c r="CV229" s="36"/>
      <c r="CW229" s="36"/>
      <c r="CX229" s="36"/>
      <c r="CY229" s="36"/>
      <c r="CZ229" s="36"/>
      <c r="DA229" s="36"/>
      <c r="DB229" s="36"/>
      <c r="DC229" s="36"/>
      <c r="DD229" s="36"/>
      <c r="DE229" s="36"/>
      <c r="DF229" s="36"/>
      <c r="DG229" s="36"/>
      <c r="DH229" s="36"/>
      <c r="DI229" s="36"/>
      <c r="DJ229" s="36"/>
      <c r="DK229" s="36"/>
      <c r="DL229" s="36"/>
      <c r="DM229" s="36"/>
      <c r="DN229" s="36"/>
      <c r="DO229" s="36"/>
      <c r="DP229" s="36"/>
      <c r="DQ229" s="36"/>
      <c r="DR229" s="36"/>
      <c r="DS229" s="36"/>
      <c r="DT229" s="36"/>
      <c r="DU229" s="36"/>
      <c r="DV229" s="36"/>
      <c r="DW229" s="36"/>
      <c r="DX229" s="36"/>
      <c r="DY229" s="36"/>
    </row>
    <row r="230" spans="84:129" ht="9" customHeight="1" x14ac:dyDescent="0.2">
      <c r="CF230" s="36"/>
      <c r="CG230" s="36"/>
      <c r="CH230" s="36"/>
      <c r="CI230" s="36"/>
      <c r="CJ230" s="36"/>
      <c r="CK230" s="36"/>
      <c r="CL230" s="36"/>
      <c r="CM230" s="37"/>
      <c r="CN230" s="36"/>
      <c r="CO230" s="36"/>
      <c r="CP230" s="36"/>
      <c r="CQ230" s="36"/>
      <c r="CR230" s="36"/>
      <c r="CS230" s="36"/>
      <c r="CT230" s="36"/>
      <c r="CU230" s="36"/>
      <c r="CV230" s="36"/>
      <c r="CW230" s="36"/>
      <c r="CX230" s="36"/>
      <c r="CY230" s="36"/>
      <c r="CZ230" s="36"/>
      <c r="DA230" s="36"/>
      <c r="DB230" s="36"/>
      <c r="DC230" s="36"/>
      <c r="DD230" s="36"/>
      <c r="DE230" s="36"/>
      <c r="DF230" s="36"/>
      <c r="DG230" s="36"/>
      <c r="DH230" s="36"/>
      <c r="DI230" s="36"/>
      <c r="DJ230" s="36"/>
      <c r="DK230" s="36"/>
      <c r="DL230" s="36"/>
      <c r="DM230" s="36"/>
      <c r="DN230" s="36"/>
      <c r="DO230" s="36"/>
      <c r="DP230" s="36"/>
      <c r="DQ230" s="36"/>
      <c r="DR230" s="36"/>
      <c r="DS230" s="36"/>
      <c r="DT230" s="36"/>
      <c r="DU230" s="36"/>
      <c r="DV230" s="36"/>
      <c r="DW230" s="36"/>
      <c r="DX230" s="36"/>
      <c r="DY230" s="36"/>
    </row>
    <row r="231" spans="84:129" ht="9" customHeight="1" x14ac:dyDescent="0.2">
      <c r="CF231" s="36"/>
      <c r="CG231" s="36"/>
      <c r="CH231" s="36"/>
      <c r="CI231" s="36"/>
      <c r="CJ231" s="36"/>
      <c r="CK231" s="36"/>
      <c r="CL231" s="36"/>
      <c r="CM231" s="37"/>
      <c r="CN231" s="36"/>
      <c r="CO231" s="36"/>
      <c r="CP231" s="36"/>
      <c r="CQ231" s="36"/>
      <c r="CR231" s="36"/>
      <c r="CS231" s="36"/>
      <c r="CT231" s="36"/>
      <c r="CU231" s="36"/>
      <c r="CV231" s="36"/>
      <c r="CW231" s="36"/>
      <c r="CX231" s="36"/>
      <c r="CY231" s="36"/>
      <c r="CZ231" s="36"/>
      <c r="DA231" s="36"/>
      <c r="DB231" s="36"/>
      <c r="DC231" s="36"/>
      <c r="DD231" s="36"/>
      <c r="DE231" s="36"/>
      <c r="DF231" s="36"/>
      <c r="DG231" s="36"/>
      <c r="DH231" s="36"/>
      <c r="DI231" s="36"/>
      <c r="DJ231" s="36"/>
      <c r="DK231" s="36"/>
      <c r="DL231" s="36"/>
      <c r="DM231" s="36"/>
      <c r="DN231" s="36"/>
      <c r="DO231" s="36"/>
      <c r="DP231" s="36"/>
      <c r="DQ231" s="36"/>
      <c r="DR231" s="36"/>
      <c r="DS231" s="36"/>
      <c r="DT231" s="36"/>
      <c r="DU231" s="36"/>
      <c r="DV231" s="36"/>
      <c r="DW231" s="36"/>
      <c r="DX231" s="36"/>
      <c r="DY231" s="36"/>
    </row>
    <row r="232" spans="84:129" ht="9" customHeight="1" x14ac:dyDescent="0.2">
      <c r="CF232" s="36"/>
      <c r="CG232" s="36"/>
      <c r="CH232" s="36"/>
      <c r="CI232" s="36"/>
      <c r="CJ232" s="36"/>
      <c r="CK232" s="36"/>
      <c r="CL232" s="36"/>
      <c r="CM232" s="37"/>
      <c r="CN232" s="36"/>
      <c r="CO232" s="36"/>
      <c r="CP232" s="36"/>
      <c r="CQ232" s="36"/>
      <c r="CR232" s="36"/>
      <c r="CS232" s="36"/>
      <c r="CT232" s="36"/>
      <c r="CU232" s="36"/>
      <c r="CV232" s="36"/>
      <c r="CW232" s="36"/>
      <c r="CX232" s="36"/>
      <c r="CY232" s="36"/>
      <c r="CZ232" s="36"/>
      <c r="DA232" s="36"/>
      <c r="DB232" s="36"/>
      <c r="DC232" s="36"/>
      <c r="DD232" s="36"/>
      <c r="DE232" s="36"/>
      <c r="DF232" s="36"/>
      <c r="DG232" s="36"/>
      <c r="DH232" s="36"/>
      <c r="DI232" s="36"/>
      <c r="DJ232" s="36"/>
      <c r="DK232" s="36"/>
      <c r="DL232" s="36"/>
      <c r="DM232" s="36"/>
      <c r="DN232" s="36"/>
      <c r="DO232" s="36"/>
      <c r="DP232" s="36"/>
      <c r="DQ232" s="36"/>
      <c r="DR232" s="36"/>
      <c r="DS232" s="36"/>
      <c r="DT232" s="36"/>
      <c r="DU232" s="36"/>
      <c r="DV232" s="36"/>
      <c r="DW232" s="36"/>
      <c r="DX232" s="36"/>
      <c r="DY232" s="36"/>
    </row>
    <row r="233" spans="84:129" ht="9" customHeight="1" x14ac:dyDescent="0.2">
      <c r="CF233" s="36"/>
      <c r="CG233" s="36"/>
      <c r="CH233" s="36"/>
      <c r="CI233" s="36"/>
      <c r="CJ233" s="36"/>
      <c r="CK233" s="36"/>
      <c r="CL233" s="36"/>
      <c r="CM233" s="37"/>
      <c r="CN233" s="36"/>
      <c r="CO233" s="36"/>
      <c r="CP233" s="36"/>
      <c r="CQ233" s="36"/>
      <c r="CR233" s="36"/>
      <c r="CS233" s="36"/>
      <c r="CT233" s="36"/>
      <c r="CU233" s="36"/>
      <c r="CV233" s="36"/>
      <c r="CW233" s="36"/>
      <c r="CX233" s="36"/>
      <c r="CY233" s="36"/>
      <c r="CZ233" s="36"/>
      <c r="DA233" s="36"/>
      <c r="DB233" s="36"/>
      <c r="DC233" s="36"/>
      <c r="DD233" s="36"/>
      <c r="DE233" s="36"/>
      <c r="DF233" s="36"/>
      <c r="DG233" s="36"/>
      <c r="DH233" s="36"/>
      <c r="DI233" s="36"/>
      <c r="DJ233" s="36"/>
      <c r="DK233" s="36"/>
      <c r="DL233" s="36"/>
      <c r="DM233" s="36"/>
      <c r="DN233" s="36"/>
      <c r="DO233" s="36"/>
      <c r="DP233" s="36"/>
      <c r="DQ233" s="36"/>
      <c r="DR233" s="36"/>
      <c r="DS233" s="36"/>
      <c r="DT233" s="36"/>
      <c r="DU233" s="36"/>
      <c r="DV233" s="36"/>
      <c r="DW233" s="36"/>
      <c r="DX233" s="36"/>
      <c r="DY233" s="36"/>
    </row>
    <row r="234" spans="84:129" ht="9" customHeight="1" x14ac:dyDescent="0.2">
      <c r="CF234" s="36"/>
      <c r="CG234" s="36"/>
      <c r="CH234" s="36"/>
      <c r="CI234" s="36"/>
      <c r="CJ234" s="36"/>
      <c r="CK234" s="36"/>
      <c r="CL234" s="36"/>
      <c r="CM234" s="37"/>
      <c r="CN234" s="36"/>
      <c r="CO234" s="36"/>
      <c r="CP234" s="36"/>
      <c r="CQ234" s="36"/>
      <c r="CR234" s="36"/>
      <c r="CS234" s="36"/>
      <c r="CT234" s="36"/>
      <c r="CU234" s="36"/>
      <c r="CV234" s="36"/>
      <c r="CW234" s="36"/>
      <c r="CX234" s="36"/>
      <c r="CY234" s="36"/>
      <c r="CZ234" s="36"/>
      <c r="DA234" s="36"/>
      <c r="DB234" s="36"/>
      <c r="DC234" s="36"/>
      <c r="DD234" s="36"/>
      <c r="DE234" s="36"/>
      <c r="DF234" s="36"/>
      <c r="DG234" s="36"/>
      <c r="DH234" s="36"/>
      <c r="DI234" s="36"/>
      <c r="DJ234" s="36"/>
      <c r="DK234" s="36"/>
      <c r="DL234" s="36"/>
      <c r="DM234" s="36"/>
      <c r="DN234" s="36"/>
      <c r="DO234" s="36"/>
      <c r="DP234" s="36"/>
      <c r="DQ234" s="36"/>
      <c r="DR234" s="36"/>
      <c r="DS234" s="36"/>
      <c r="DT234" s="36"/>
      <c r="DU234" s="36"/>
      <c r="DV234" s="36"/>
      <c r="DW234" s="36"/>
      <c r="DX234" s="36"/>
      <c r="DY234" s="36"/>
    </row>
    <row r="235" spans="84:129" ht="9" customHeight="1" x14ac:dyDescent="0.2">
      <c r="CF235" s="36"/>
      <c r="CG235" s="36"/>
      <c r="CH235" s="36"/>
      <c r="CI235" s="36"/>
      <c r="CJ235" s="36"/>
      <c r="CK235" s="36"/>
      <c r="CL235" s="36"/>
      <c r="CM235" s="37"/>
      <c r="CN235" s="36"/>
      <c r="CO235" s="36"/>
      <c r="CP235" s="36"/>
      <c r="CQ235" s="36"/>
      <c r="CR235" s="36"/>
      <c r="CS235" s="36"/>
      <c r="CT235" s="36"/>
      <c r="CU235" s="36"/>
      <c r="CV235" s="36"/>
      <c r="CW235" s="36"/>
      <c r="CX235" s="36"/>
      <c r="CY235" s="36"/>
      <c r="CZ235" s="36"/>
      <c r="DA235" s="36"/>
      <c r="DB235" s="36"/>
      <c r="DC235" s="36"/>
      <c r="DD235" s="36"/>
      <c r="DE235" s="36"/>
      <c r="DF235" s="36"/>
      <c r="DG235" s="36"/>
      <c r="DH235" s="36"/>
      <c r="DI235" s="36"/>
      <c r="DJ235" s="36"/>
      <c r="DK235" s="36"/>
      <c r="DL235" s="36"/>
      <c r="DM235" s="36"/>
      <c r="DN235" s="36"/>
      <c r="DO235" s="36"/>
      <c r="DP235" s="36"/>
      <c r="DQ235" s="36"/>
      <c r="DR235" s="36"/>
      <c r="DS235" s="36"/>
      <c r="DT235" s="36"/>
      <c r="DU235" s="36"/>
      <c r="DV235" s="36"/>
      <c r="DW235" s="36"/>
      <c r="DX235" s="36"/>
      <c r="DY235" s="36"/>
    </row>
    <row r="236" spans="84:129" ht="9" customHeight="1" x14ac:dyDescent="0.2">
      <c r="CF236" s="36"/>
      <c r="CG236" s="36"/>
      <c r="CH236" s="36"/>
      <c r="CI236" s="36"/>
      <c r="CJ236" s="36"/>
      <c r="CK236" s="36"/>
      <c r="CL236" s="36"/>
      <c r="CM236" s="37"/>
      <c r="CN236" s="36"/>
      <c r="CO236" s="36"/>
      <c r="CP236" s="36"/>
      <c r="CQ236" s="36"/>
      <c r="CR236" s="36"/>
      <c r="CS236" s="36"/>
      <c r="CT236" s="36"/>
      <c r="CU236" s="36"/>
      <c r="CV236" s="36"/>
      <c r="CW236" s="36"/>
      <c r="CX236" s="36"/>
      <c r="CY236" s="36"/>
      <c r="CZ236" s="36"/>
      <c r="DA236" s="36"/>
      <c r="DB236" s="36"/>
      <c r="DC236" s="36"/>
      <c r="DD236" s="36"/>
      <c r="DE236" s="36"/>
      <c r="DF236" s="36"/>
      <c r="DG236" s="36"/>
      <c r="DH236" s="36"/>
      <c r="DI236" s="36"/>
      <c r="DJ236" s="36"/>
      <c r="DK236" s="36"/>
      <c r="DL236" s="36"/>
      <c r="DM236" s="36"/>
      <c r="DN236" s="36"/>
      <c r="DO236" s="36"/>
      <c r="DP236" s="36"/>
      <c r="DQ236" s="36"/>
      <c r="DR236" s="36"/>
      <c r="DS236" s="36"/>
      <c r="DT236" s="36"/>
      <c r="DU236" s="36"/>
      <c r="DV236" s="36"/>
      <c r="DW236" s="36"/>
      <c r="DX236" s="36"/>
      <c r="DY236" s="36"/>
    </row>
    <row r="237" spans="84:129" ht="9" customHeight="1" x14ac:dyDescent="0.2">
      <c r="CF237" s="36"/>
      <c r="CG237" s="36"/>
      <c r="CH237" s="36"/>
      <c r="CI237" s="36"/>
      <c r="CJ237" s="36"/>
      <c r="CK237" s="36"/>
      <c r="CL237" s="36"/>
      <c r="CM237" s="37"/>
      <c r="CN237" s="36"/>
      <c r="CO237" s="36"/>
      <c r="CP237" s="36"/>
      <c r="CQ237" s="36"/>
      <c r="CR237" s="36"/>
      <c r="CS237" s="36"/>
      <c r="CT237" s="36"/>
      <c r="CU237" s="36"/>
      <c r="CV237" s="36"/>
      <c r="CW237" s="36"/>
      <c r="CX237" s="36"/>
      <c r="CY237" s="36"/>
      <c r="CZ237" s="36"/>
      <c r="DA237" s="36"/>
      <c r="DB237" s="36"/>
      <c r="DC237" s="36"/>
      <c r="DD237" s="36"/>
      <c r="DE237" s="36"/>
      <c r="DF237" s="36"/>
      <c r="DG237" s="36"/>
      <c r="DH237" s="36"/>
      <c r="DI237" s="36"/>
      <c r="DJ237" s="36"/>
      <c r="DK237" s="36"/>
      <c r="DL237" s="36"/>
      <c r="DM237" s="36"/>
      <c r="DN237" s="36"/>
      <c r="DO237" s="36"/>
      <c r="DP237" s="36"/>
      <c r="DQ237" s="36"/>
      <c r="DR237" s="36"/>
      <c r="DS237" s="36"/>
      <c r="DT237" s="36"/>
      <c r="DU237" s="36"/>
      <c r="DV237" s="36"/>
      <c r="DW237" s="36"/>
      <c r="DX237" s="36"/>
      <c r="DY237" s="36"/>
    </row>
    <row r="238" spans="84:129" ht="9" customHeight="1" x14ac:dyDescent="0.2">
      <c r="CF238" s="36"/>
      <c r="CG238" s="36"/>
      <c r="CH238" s="36"/>
      <c r="CI238" s="36"/>
      <c r="CJ238" s="36"/>
      <c r="CK238" s="36"/>
      <c r="CL238" s="36"/>
      <c r="CM238" s="37"/>
      <c r="CN238" s="36"/>
      <c r="CO238" s="36"/>
      <c r="CP238" s="36"/>
      <c r="CQ238" s="36"/>
      <c r="CR238" s="36"/>
      <c r="CS238" s="36"/>
      <c r="CT238" s="36"/>
      <c r="CU238" s="36"/>
      <c r="CV238" s="36"/>
      <c r="CW238" s="36"/>
      <c r="CX238" s="36"/>
      <c r="CY238" s="36"/>
      <c r="CZ238" s="36"/>
      <c r="DA238" s="36"/>
      <c r="DB238" s="36"/>
      <c r="DC238" s="36"/>
      <c r="DD238" s="36"/>
      <c r="DE238" s="36"/>
      <c r="DF238" s="36"/>
      <c r="DG238" s="36"/>
      <c r="DH238" s="36"/>
      <c r="DI238" s="36"/>
      <c r="DJ238" s="36"/>
      <c r="DK238" s="36"/>
      <c r="DL238" s="36"/>
      <c r="DM238" s="36"/>
      <c r="DN238" s="36"/>
      <c r="DO238" s="36"/>
      <c r="DP238" s="36"/>
      <c r="DQ238" s="36"/>
      <c r="DR238" s="36"/>
      <c r="DS238" s="36"/>
      <c r="DT238" s="36"/>
      <c r="DU238" s="36"/>
      <c r="DV238" s="36"/>
      <c r="DW238" s="36"/>
      <c r="DX238" s="36"/>
      <c r="DY238" s="36"/>
    </row>
    <row r="239" spans="84:129" ht="9" customHeight="1" x14ac:dyDescent="0.2">
      <c r="CF239" s="36"/>
      <c r="CG239" s="36"/>
      <c r="CH239" s="36"/>
      <c r="CI239" s="36"/>
      <c r="CJ239" s="36"/>
      <c r="CK239" s="36"/>
      <c r="CL239" s="36"/>
      <c r="CM239" s="37"/>
      <c r="CN239" s="36"/>
      <c r="CO239" s="36"/>
      <c r="CP239" s="36"/>
      <c r="CQ239" s="36"/>
      <c r="CR239" s="36"/>
      <c r="CS239" s="36"/>
      <c r="CT239" s="36"/>
      <c r="CU239" s="36"/>
      <c r="CV239" s="36"/>
      <c r="CW239" s="36"/>
      <c r="CX239" s="36"/>
      <c r="CY239" s="36"/>
      <c r="CZ239" s="36"/>
      <c r="DA239" s="36"/>
      <c r="DB239" s="36"/>
      <c r="DC239" s="36"/>
      <c r="DD239" s="36"/>
      <c r="DE239" s="36"/>
      <c r="DF239" s="36"/>
      <c r="DG239" s="36"/>
      <c r="DH239" s="36"/>
      <c r="DI239" s="36"/>
      <c r="DJ239" s="36"/>
      <c r="DK239" s="36"/>
      <c r="DL239" s="36"/>
      <c r="DM239" s="36"/>
      <c r="DN239" s="36"/>
      <c r="DO239" s="36"/>
      <c r="DP239" s="36"/>
      <c r="DQ239" s="36"/>
      <c r="DR239" s="36"/>
      <c r="DS239" s="36"/>
      <c r="DT239" s="36"/>
      <c r="DU239" s="36"/>
      <c r="DV239" s="36"/>
      <c r="DW239" s="36"/>
      <c r="DX239" s="36"/>
      <c r="DY239" s="36"/>
    </row>
    <row r="240" spans="84:129" ht="9" customHeight="1" x14ac:dyDescent="0.2">
      <c r="CF240" s="36"/>
      <c r="CG240" s="36"/>
      <c r="CH240" s="36"/>
      <c r="CI240" s="36"/>
      <c r="CJ240" s="36"/>
      <c r="CK240" s="36"/>
      <c r="CL240" s="36"/>
      <c r="CM240" s="37"/>
      <c r="CN240" s="36"/>
      <c r="CO240" s="36"/>
      <c r="CP240" s="36"/>
      <c r="CQ240" s="36"/>
      <c r="CR240" s="36"/>
      <c r="CS240" s="36"/>
      <c r="CT240" s="36"/>
      <c r="CU240" s="36"/>
      <c r="CV240" s="36"/>
      <c r="CW240" s="36"/>
      <c r="CX240" s="36"/>
      <c r="CY240" s="36"/>
      <c r="CZ240" s="36"/>
      <c r="DA240" s="36"/>
      <c r="DB240" s="36"/>
      <c r="DC240" s="36"/>
      <c r="DD240" s="36"/>
      <c r="DE240" s="36"/>
      <c r="DF240" s="36"/>
      <c r="DG240" s="36"/>
      <c r="DH240" s="36"/>
      <c r="DI240" s="36"/>
      <c r="DJ240" s="36"/>
      <c r="DK240" s="36"/>
      <c r="DL240" s="36"/>
      <c r="DM240" s="36"/>
      <c r="DN240" s="36"/>
      <c r="DO240" s="36"/>
      <c r="DP240" s="36"/>
      <c r="DQ240" s="36"/>
      <c r="DR240" s="36"/>
      <c r="DS240" s="36"/>
      <c r="DT240" s="36"/>
      <c r="DU240" s="36"/>
      <c r="DV240" s="36"/>
      <c r="DW240" s="36"/>
      <c r="DX240" s="36"/>
      <c r="DY240" s="36"/>
    </row>
    <row r="241" spans="84:129" ht="9" customHeight="1" x14ac:dyDescent="0.2">
      <c r="CF241" s="36"/>
      <c r="CG241" s="36"/>
      <c r="CH241" s="36"/>
      <c r="CI241" s="36"/>
      <c r="CJ241" s="36"/>
      <c r="CK241" s="36"/>
      <c r="CL241" s="36"/>
      <c r="CM241" s="37"/>
      <c r="CN241" s="36"/>
      <c r="CO241" s="36"/>
      <c r="CP241" s="36"/>
      <c r="CQ241" s="36"/>
      <c r="CR241" s="36"/>
      <c r="CS241" s="36"/>
      <c r="CT241" s="36"/>
      <c r="CU241" s="36"/>
      <c r="CV241" s="36"/>
      <c r="CW241" s="36"/>
      <c r="CX241" s="36"/>
      <c r="CY241" s="36"/>
      <c r="CZ241" s="36"/>
      <c r="DA241" s="36"/>
      <c r="DB241" s="36"/>
      <c r="DC241" s="36"/>
      <c r="DD241" s="36"/>
      <c r="DE241" s="36"/>
      <c r="DF241" s="36"/>
      <c r="DG241" s="36"/>
      <c r="DH241" s="36"/>
      <c r="DI241" s="36"/>
      <c r="DJ241" s="36"/>
      <c r="DK241" s="36"/>
      <c r="DL241" s="36"/>
      <c r="DM241" s="36"/>
      <c r="DN241" s="36"/>
      <c r="DO241" s="36"/>
      <c r="DP241" s="36"/>
      <c r="DQ241" s="36"/>
      <c r="DR241" s="36"/>
      <c r="DS241" s="36"/>
      <c r="DT241" s="36"/>
      <c r="DU241" s="36"/>
      <c r="DV241" s="36"/>
      <c r="DW241" s="36"/>
      <c r="DX241" s="36"/>
      <c r="DY241" s="36"/>
    </row>
    <row r="242" spans="84:129" ht="9" customHeight="1" x14ac:dyDescent="0.2">
      <c r="CF242" s="36"/>
      <c r="CG242" s="36"/>
      <c r="CH242" s="36"/>
      <c r="CI242" s="36"/>
      <c r="CJ242" s="36"/>
      <c r="CK242" s="36"/>
      <c r="CL242" s="36"/>
      <c r="CM242" s="37"/>
      <c r="CN242" s="36"/>
      <c r="CO242" s="36"/>
      <c r="CP242" s="36"/>
      <c r="CQ242" s="36"/>
      <c r="CR242" s="36"/>
      <c r="CS242" s="36"/>
      <c r="CT242" s="36"/>
      <c r="CU242" s="36"/>
      <c r="CV242" s="36"/>
      <c r="CW242" s="36"/>
      <c r="CX242" s="36"/>
      <c r="CY242" s="36"/>
      <c r="CZ242" s="36"/>
      <c r="DA242" s="36"/>
      <c r="DB242" s="36"/>
      <c r="DC242" s="36"/>
      <c r="DD242" s="36"/>
      <c r="DE242" s="36"/>
      <c r="DF242" s="36"/>
      <c r="DG242" s="36"/>
      <c r="DH242" s="36"/>
      <c r="DI242" s="36"/>
      <c r="DJ242" s="36"/>
      <c r="DK242" s="36"/>
      <c r="DL242" s="36"/>
      <c r="DM242" s="36"/>
      <c r="DN242" s="36"/>
      <c r="DO242" s="36"/>
      <c r="DP242" s="36"/>
      <c r="DQ242" s="36"/>
      <c r="DR242" s="36"/>
      <c r="DS242" s="36"/>
      <c r="DT242" s="36"/>
      <c r="DU242" s="36"/>
      <c r="DV242" s="36"/>
      <c r="DW242" s="36"/>
      <c r="DX242" s="36"/>
      <c r="DY242" s="36"/>
    </row>
    <row r="243" spans="84:129" ht="9" customHeight="1" x14ac:dyDescent="0.2">
      <c r="CF243" s="36"/>
      <c r="CG243" s="36"/>
      <c r="CH243" s="36"/>
      <c r="CI243" s="36"/>
      <c r="CJ243" s="36"/>
      <c r="CK243" s="36"/>
      <c r="CL243" s="36"/>
      <c r="CM243" s="37"/>
      <c r="CN243" s="36"/>
      <c r="CO243" s="36"/>
      <c r="CP243" s="36"/>
      <c r="CQ243" s="36"/>
      <c r="CR243" s="36"/>
      <c r="CS243" s="36"/>
      <c r="CT243" s="36"/>
      <c r="CU243" s="36"/>
      <c r="CV243" s="36"/>
      <c r="CW243" s="36"/>
      <c r="CX243" s="36"/>
      <c r="CY243" s="36"/>
      <c r="CZ243" s="36"/>
      <c r="DA243" s="36"/>
      <c r="DB243" s="36"/>
      <c r="DC243" s="36"/>
      <c r="DD243" s="36"/>
      <c r="DE243" s="36"/>
      <c r="DF243" s="36"/>
      <c r="DG243" s="36"/>
      <c r="DH243" s="36"/>
      <c r="DI243" s="36"/>
      <c r="DJ243" s="36"/>
      <c r="DK243" s="36"/>
      <c r="DL243" s="36"/>
      <c r="DM243" s="36"/>
      <c r="DN243" s="36"/>
      <c r="DO243" s="36"/>
      <c r="DP243" s="36"/>
      <c r="DQ243" s="36"/>
      <c r="DR243" s="36"/>
      <c r="DS243" s="36"/>
      <c r="DT243" s="36"/>
      <c r="DU243" s="36"/>
      <c r="DV243" s="36"/>
      <c r="DW243" s="36"/>
      <c r="DX243" s="36"/>
      <c r="DY243" s="36"/>
    </row>
    <row r="244" spans="84:129" ht="9" customHeight="1" x14ac:dyDescent="0.2">
      <c r="CF244" s="36"/>
      <c r="CG244" s="36"/>
      <c r="CH244" s="36"/>
      <c r="CI244" s="36"/>
      <c r="CJ244" s="36"/>
      <c r="CK244" s="36"/>
      <c r="CL244" s="36"/>
      <c r="CM244" s="37"/>
      <c r="CN244" s="36"/>
      <c r="CO244" s="36"/>
      <c r="CP244" s="36"/>
      <c r="CQ244" s="36"/>
      <c r="CR244" s="36"/>
      <c r="CS244" s="36"/>
      <c r="CT244" s="36"/>
      <c r="CU244" s="36"/>
      <c r="CV244" s="36"/>
      <c r="CW244" s="36"/>
      <c r="CX244" s="36"/>
      <c r="CY244" s="36"/>
      <c r="CZ244" s="36"/>
      <c r="DA244" s="36"/>
      <c r="DB244" s="36"/>
      <c r="DC244" s="36"/>
      <c r="DD244" s="36"/>
      <c r="DE244" s="36"/>
      <c r="DF244" s="36"/>
      <c r="DG244" s="36"/>
      <c r="DH244" s="36"/>
      <c r="DI244" s="36"/>
      <c r="DJ244" s="36"/>
      <c r="DK244" s="36"/>
      <c r="DL244" s="36"/>
      <c r="DM244" s="36"/>
      <c r="DN244" s="36"/>
      <c r="DO244" s="36"/>
      <c r="DP244" s="36"/>
      <c r="DQ244" s="36"/>
      <c r="DR244" s="36"/>
      <c r="DS244" s="36"/>
      <c r="DT244" s="36"/>
      <c r="DU244" s="36"/>
      <c r="DV244" s="36"/>
      <c r="DW244" s="36"/>
      <c r="DX244" s="36"/>
      <c r="DY244" s="36"/>
    </row>
    <row r="245" spans="84:129" ht="9" customHeight="1" x14ac:dyDescent="0.2">
      <c r="CF245" s="36"/>
      <c r="CG245" s="36"/>
      <c r="CH245" s="36"/>
      <c r="CI245" s="36"/>
      <c r="CJ245" s="36"/>
      <c r="CK245" s="36"/>
      <c r="CL245" s="36"/>
      <c r="CM245" s="37"/>
      <c r="CN245" s="36"/>
      <c r="CO245" s="36"/>
      <c r="CP245" s="36"/>
      <c r="CQ245" s="36"/>
      <c r="CR245" s="36"/>
      <c r="CS245" s="36"/>
      <c r="CT245" s="36"/>
      <c r="CU245" s="36"/>
      <c r="CV245" s="36"/>
      <c r="CW245" s="36"/>
      <c r="CX245" s="36"/>
      <c r="CY245" s="36"/>
      <c r="CZ245" s="36"/>
      <c r="DA245" s="36"/>
      <c r="DB245" s="36"/>
      <c r="DC245" s="36"/>
      <c r="DD245" s="36"/>
      <c r="DE245" s="36"/>
      <c r="DF245" s="36"/>
      <c r="DG245" s="36"/>
      <c r="DH245" s="36"/>
      <c r="DI245" s="36"/>
      <c r="DJ245" s="36"/>
      <c r="DK245" s="36"/>
      <c r="DL245" s="36"/>
      <c r="DM245" s="36"/>
      <c r="DN245" s="36"/>
      <c r="DO245" s="36"/>
      <c r="DP245" s="36"/>
      <c r="DQ245" s="36"/>
      <c r="DR245" s="36"/>
      <c r="DS245" s="36"/>
      <c r="DT245" s="36"/>
      <c r="DU245" s="36"/>
      <c r="DV245" s="36"/>
      <c r="DW245" s="36"/>
      <c r="DX245" s="36"/>
      <c r="DY245" s="36"/>
    </row>
    <row r="246" spans="84:129" ht="9" customHeight="1" x14ac:dyDescent="0.2">
      <c r="CF246" s="36"/>
      <c r="CG246" s="36"/>
      <c r="CH246" s="36"/>
      <c r="CI246" s="36"/>
      <c r="CJ246" s="36"/>
      <c r="CK246" s="36"/>
      <c r="CL246" s="36"/>
      <c r="CM246" s="37"/>
      <c r="CN246" s="36"/>
      <c r="CO246" s="36"/>
      <c r="CP246" s="36"/>
      <c r="CQ246" s="36"/>
      <c r="CR246" s="36"/>
      <c r="CS246" s="36"/>
      <c r="CT246" s="36"/>
      <c r="CU246" s="36"/>
      <c r="CV246" s="36"/>
      <c r="CW246" s="36"/>
      <c r="CX246" s="36"/>
      <c r="CY246" s="36"/>
      <c r="CZ246" s="36"/>
      <c r="DA246" s="36"/>
      <c r="DB246" s="36"/>
      <c r="DC246" s="36"/>
      <c r="DD246" s="36"/>
      <c r="DE246" s="36"/>
      <c r="DF246" s="36"/>
      <c r="DG246" s="36"/>
      <c r="DH246" s="36"/>
      <c r="DI246" s="36"/>
      <c r="DJ246" s="36"/>
      <c r="DK246" s="36"/>
      <c r="DL246" s="36"/>
      <c r="DM246" s="36"/>
      <c r="DN246" s="36"/>
      <c r="DO246" s="36"/>
      <c r="DP246" s="36"/>
      <c r="DQ246" s="36"/>
      <c r="DR246" s="36"/>
      <c r="DS246" s="36"/>
      <c r="DT246" s="36"/>
      <c r="DU246" s="36"/>
      <c r="DV246" s="36"/>
      <c r="DW246" s="36"/>
      <c r="DX246" s="36"/>
      <c r="DY246" s="36"/>
    </row>
    <row r="247" spans="84:129" ht="9" customHeight="1" x14ac:dyDescent="0.2">
      <c r="CF247" s="36"/>
      <c r="CG247" s="36"/>
      <c r="CH247" s="36"/>
      <c r="CI247" s="36"/>
      <c r="CJ247" s="36"/>
      <c r="CK247" s="36"/>
      <c r="CL247" s="36"/>
      <c r="CM247" s="37"/>
      <c r="CN247" s="36"/>
      <c r="CO247" s="36"/>
      <c r="CP247" s="36"/>
      <c r="CQ247" s="36"/>
      <c r="CR247" s="36"/>
      <c r="CS247" s="36"/>
      <c r="CT247" s="36"/>
      <c r="CU247" s="36"/>
      <c r="CV247" s="36"/>
      <c r="CW247" s="36"/>
      <c r="CX247" s="36"/>
      <c r="CY247" s="36"/>
      <c r="CZ247" s="36"/>
      <c r="DA247" s="36"/>
      <c r="DB247" s="36"/>
      <c r="DC247" s="36"/>
      <c r="DD247" s="36"/>
      <c r="DE247" s="36"/>
      <c r="DF247" s="36"/>
      <c r="DG247" s="36"/>
      <c r="DH247" s="36"/>
      <c r="DI247" s="36"/>
      <c r="DJ247" s="36"/>
      <c r="DK247" s="36"/>
      <c r="DL247" s="36"/>
      <c r="DM247" s="36"/>
      <c r="DN247" s="36"/>
      <c r="DO247" s="36"/>
      <c r="DP247" s="36"/>
      <c r="DQ247" s="36"/>
      <c r="DR247" s="36"/>
      <c r="DS247" s="36"/>
      <c r="DT247" s="36"/>
      <c r="DU247" s="36"/>
      <c r="DV247" s="36"/>
      <c r="DW247" s="36"/>
      <c r="DX247" s="36"/>
      <c r="DY247" s="36"/>
    </row>
    <row r="248" spans="84:129" ht="9" customHeight="1" x14ac:dyDescent="0.2">
      <c r="CF248" s="36"/>
      <c r="CG248" s="36"/>
      <c r="CH248" s="36"/>
      <c r="CI248" s="36"/>
      <c r="CJ248" s="36"/>
      <c r="CK248" s="36"/>
      <c r="CL248" s="36"/>
      <c r="CM248" s="37"/>
      <c r="CN248" s="36"/>
      <c r="CO248" s="36"/>
      <c r="CP248" s="36"/>
      <c r="CQ248" s="36"/>
      <c r="CR248" s="36"/>
      <c r="CS248" s="36"/>
      <c r="CT248" s="36"/>
      <c r="CU248" s="36"/>
      <c r="CV248" s="36"/>
      <c r="CW248" s="36"/>
      <c r="CX248" s="36"/>
      <c r="CY248" s="36"/>
      <c r="CZ248" s="36"/>
      <c r="DA248" s="36"/>
      <c r="DB248" s="36"/>
      <c r="DC248" s="36"/>
      <c r="DD248" s="36"/>
      <c r="DE248" s="36"/>
      <c r="DF248" s="36"/>
      <c r="DG248" s="36"/>
      <c r="DH248" s="36"/>
      <c r="DI248" s="36"/>
      <c r="DJ248" s="36"/>
      <c r="DK248" s="36"/>
      <c r="DL248" s="36"/>
      <c r="DM248" s="36"/>
      <c r="DN248" s="36"/>
      <c r="DO248" s="36"/>
      <c r="DP248" s="36"/>
      <c r="DQ248" s="36"/>
      <c r="DR248" s="36"/>
      <c r="DS248" s="36"/>
      <c r="DT248" s="36"/>
      <c r="DU248" s="36"/>
      <c r="DV248" s="36"/>
      <c r="DW248" s="36"/>
      <c r="DX248" s="36"/>
      <c r="DY248" s="36"/>
    </row>
    <row r="249" spans="84:129" ht="9" customHeight="1" x14ac:dyDescent="0.2">
      <c r="CF249" s="36"/>
      <c r="CG249" s="36"/>
      <c r="CH249" s="36"/>
      <c r="CI249" s="36"/>
      <c r="CJ249" s="36"/>
      <c r="CK249" s="36"/>
      <c r="CL249" s="36"/>
      <c r="CM249" s="37"/>
      <c r="CN249" s="36"/>
      <c r="CO249" s="36"/>
      <c r="CP249" s="36"/>
      <c r="CQ249" s="36"/>
      <c r="CR249" s="36"/>
      <c r="CS249" s="36"/>
      <c r="CT249" s="36"/>
      <c r="CU249" s="36"/>
      <c r="CV249" s="36"/>
      <c r="CW249" s="36"/>
      <c r="CX249" s="36"/>
      <c r="CY249" s="36"/>
      <c r="CZ249" s="36"/>
      <c r="DA249" s="36"/>
      <c r="DB249" s="36"/>
      <c r="DC249" s="36"/>
      <c r="DD249" s="36"/>
      <c r="DE249" s="36"/>
      <c r="DF249" s="36"/>
      <c r="DG249" s="36"/>
      <c r="DH249" s="36"/>
      <c r="DI249" s="36"/>
      <c r="DJ249" s="36"/>
      <c r="DK249" s="36"/>
      <c r="DL249" s="36"/>
      <c r="DM249" s="36"/>
      <c r="DN249" s="36"/>
      <c r="DO249" s="36"/>
      <c r="DP249" s="36"/>
      <c r="DQ249" s="36"/>
      <c r="DR249" s="36"/>
      <c r="DS249" s="36"/>
      <c r="DT249" s="36"/>
      <c r="DU249" s="36"/>
      <c r="DV249" s="36"/>
      <c r="DW249" s="36"/>
      <c r="DX249" s="36"/>
      <c r="DY249" s="36"/>
    </row>
    <row r="250" spans="84:129" ht="9" customHeight="1" x14ac:dyDescent="0.2">
      <c r="CF250" s="36"/>
      <c r="CG250" s="36"/>
      <c r="CH250" s="36"/>
      <c r="CI250" s="36"/>
      <c r="CJ250" s="36"/>
      <c r="CK250" s="36"/>
      <c r="CL250" s="36"/>
      <c r="CM250" s="37"/>
      <c r="CN250" s="36"/>
      <c r="CO250" s="36"/>
      <c r="CP250" s="36"/>
      <c r="CQ250" s="36"/>
      <c r="CR250" s="36"/>
      <c r="CS250" s="36"/>
      <c r="CT250" s="36"/>
      <c r="CU250" s="36"/>
      <c r="CV250" s="36"/>
      <c r="CW250" s="36"/>
      <c r="CX250" s="36"/>
      <c r="CY250" s="36"/>
      <c r="CZ250" s="36"/>
      <c r="DA250" s="36"/>
      <c r="DB250" s="36"/>
      <c r="DC250" s="36"/>
      <c r="DD250" s="36"/>
      <c r="DE250" s="36"/>
      <c r="DF250" s="36"/>
      <c r="DG250" s="36"/>
      <c r="DH250" s="36"/>
      <c r="DI250" s="36"/>
      <c r="DJ250" s="36"/>
      <c r="DK250" s="36"/>
      <c r="DL250" s="36"/>
      <c r="DM250" s="36"/>
      <c r="DN250" s="36"/>
      <c r="DO250" s="36"/>
      <c r="DP250" s="36"/>
      <c r="DQ250" s="36"/>
      <c r="DR250" s="36"/>
      <c r="DS250" s="36"/>
      <c r="DT250" s="36"/>
      <c r="DU250" s="36"/>
      <c r="DV250" s="36"/>
      <c r="DW250" s="36"/>
      <c r="DX250" s="36"/>
      <c r="DY250" s="36"/>
    </row>
    <row r="251" spans="84:129" ht="9" customHeight="1" x14ac:dyDescent="0.2">
      <c r="CF251" s="36"/>
      <c r="CG251" s="36"/>
      <c r="CH251" s="36"/>
      <c r="CI251" s="36"/>
      <c r="CJ251" s="36"/>
      <c r="CK251" s="36"/>
      <c r="CL251" s="36"/>
      <c r="CM251" s="37"/>
      <c r="CN251" s="36"/>
      <c r="CO251" s="36"/>
      <c r="CP251" s="36"/>
      <c r="CQ251" s="36"/>
      <c r="CR251" s="36"/>
      <c r="CS251" s="36"/>
      <c r="CT251" s="36"/>
      <c r="CU251" s="36"/>
      <c r="CV251" s="36"/>
      <c r="CW251" s="36"/>
      <c r="CX251" s="36"/>
      <c r="CY251" s="36"/>
      <c r="CZ251" s="36"/>
      <c r="DA251" s="36"/>
      <c r="DB251" s="36"/>
      <c r="DC251" s="36"/>
      <c r="DD251" s="36"/>
      <c r="DE251" s="36"/>
      <c r="DF251" s="36"/>
      <c r="DG251" s="36"/>
      <c r="DH251" s="36"/>
      <c r="DI251" s="36"/>
      <c r="DJ251" s="36"/>
      <c r="DK251" s="36"/>
      <c r="DL251" s="36"/>
      <c r="DM251" s="36"/>
      <c r="DN251" s="36"/>
      <c r="DO251" s="36"/>
      <c r="DP251" s="36"/>
      <c r="DQ251" s="36"/>
      <c r="DR251" s="36"/>
      <c r="DS251" s="36"/>
      <c r="DT251" s="36"/>
      <c r="DU251" s="36"/>
      <c r="DV251" s="36"/>
      <c r="DW251" s="36"/>
      <c r="DX251" s="36"/>
      <c r="DY251" s="36"/>
    </row>
    <row r="252" spans="84:129" ht="9" customHeight="1" x14ac:dyDescent="0.2">
      <c r="CF252" s="36"/>
      <c r="CG252" s="36"/>
      <c r="CH252" s="36"/>
      <c r="CI252" s="36"/>
      <c r="CJ252" s="36"/>
      <c r="CK252" s="36"/>
      <c r="CL252" s="36"/>
      <c r="CM252" s="37"/>
      <c r="CN252" s="36"/>
      <c r="CO252" s="36"/>
      <c r="CP252" s="36"/>
      <c r="CQ252" s="36"/>
      <c r="CR252" s="36"/>
      <c r="CS252" s="36"/>
      <c r="CT252" s="36"/>
      <c r="CU252" s="36"/>
      <c r="CV252" s="36"/>
      <c r="CW252" s="36"/>
      <c r="CX252" s="36"/>
      <c r="CY252" s="36"/>
      <c r="CZ252" s="36"/>
      <c r="DA252" s="36"/>
      <c r="DB252" s="36"/>
      <c r="DC252" s="36"/>
      <c r="DD252" s="36"/>
      <c r="DE252" s="36"/>
      <c r="DF252" s="36"/>
      <c r="DG252" s="36"/>
      <c r="DH252" s="36"/>
      <c r="DI252" s="36"/>
      <c r="DJ252" s="36"/>
      <c r="DK252" s="36"/>
      <c r="DL252" s="36"/>
      <c r="DM252" s="36"/>
      <c r="DN252" s="36"/>
      <c r="DO252" s="36"/>
      <c r="DP252" s="36"/>
      <c r="DQ252" s="36"/>
      <c r="DR252" s="36"/>
      <c r="DS252" s="36"/>
      <c r="DT252" s="36"/>
      <c r="DU252" s="36"/>
      <c r="DV252" s="36"/>
      <c r="DW252" s="36"/>
      <c r="DX252" s="36"/>
      <c r="DY252" s="36"/>
    </row>
    <row r="253" spans="84:129" ht="9" customHeight="1" x14ac:dyDescent="0.2">
      <c r="CF253" s="36"/>
      <c r="CG253" s="36"/>
      <c r="CH253" s="36"/>
      <c r="CI253" s="36"/>
      <c r="CJ253" s="36"/>
      <c r="CK253" s="36"/>
      <c r="CL253" s="36"/>
      <c r="CM253" s="37"/>
      <c r="CN253" s="36"/>
      <c r="CO253" s="36"/>
      <c r="CP253" s="36"/>
      <c r="CQ253" s="36"/>
      <c r="CR253" s="36"/>
      <c r="CS253" s="36"/>
      <c r="CT253" s="36"/>
      <c r="CU253" s="36"/>
      <c r="CV253" s="36"/>
      <c r="CW253" s="36"/>
      <c r="CX253" s="36"/>
      <c r="CY253" s="36"/>
      <c r="CZ253" s="36"/>
      <c r="DA253" s="36"/>
      <c r="DB253" s="36"/>
      <c r="DC253" s="36"/>
      <c r="DD253" s="36"/>
      <c r="DE253" s="36"/>
      <c r="DF253" s="36"/>
      <c r="DG253" s="36"/>
      <c r="DH253" s="36"/>
      <c r="DI253" s="36"/>
      <c r="DJ253" s="36"/>
      <c r="DK253" s="36"/>
      <c r="DL253" s="36"/>
      <c r="DM253" s="36"/>
      <c r="DN253" s="36"/>
      <c r="DO253" s="36"/>
      <c r="DP253" s="36"/>
      <c r="DQ253" s="36"/>
      <c r="DR253" s="36"/>
      <c r="DS253" s="36"/>
      <c r="DT253" s="36"/>
      <c r="DU253" s="36"/>
      <c r="DV253" s="36"/>
      <c r="DW253" s="36"/>
      <c r="DX253" s="36"/>
      <c r="DY253" s="36"/>
    </row>
    <row r="254" spans="84:129" ht="9" customHeight="1" x14ac:dyDescent="0.2">
      <c r="CF254" s="36"/>
      <c r="CG254" s="36"/>
      <c r="CH254" s="36"/>
      <c r="CI254" s="36"/>
      <c r="CJ254" s="36"/>
      <c r="CK254" s="36"/>
      <c r="CL254" s="36"/>
      <c r="CM254" s="37"/>
      <c r="CN254" s="36"/>
      <c r="CO254" s="36"/>
      <c r="CP254" s="36"/>
      <c r="CQ254" s="36"/>
      <c r="CR254" s="36"/>
      <c r="CS254" s="36"/>
      <c r="CT254" s="36"/>
      <c r="CU254" s="36"/>
      <c r="CV254" s="36"/>
      <c r="CW254" s="36"/>
      <c r="CX254" s="36"/>
      <c r="CY254" s="36"/>
      <c r="CZ254" s="36"/>
      <c r="DA254" s="36"/>
      <c r="DB254" s="36"/>
      <c r="DC254" s="36"/>
      <c r="DD254" s="36"/>
      <c r="DE254" s="36"/>
      <c r="DF254" s="36"/>
      <c r="DG254" s="36"/>
      <c r="DH254" s="36"/>
      <c r="DI254" s="36"/>
      <c r="DJ254" s="36"/>
      <c r="DK254" s="36"/>
      <c r="DL254" s="36"/>
      <c r="DM254" s="36"/>
      <c r="DN254" s="36"/>
      <c r="DO254" s="36"/>
      <c r="DP254" s="36"/>
      <c r="DQ254" s="36"/>
      <c r="DR254" s="36"/>
      <c r="DS254" s="36"/>
      <c r="DT254" s="36"/>
      <c r="DU254" s="36"/>
      <c r="DV254" s="36"/>
      <c r="DW254" s="36"/>
      <c r="DX254" s="36"/>
      <c r="DY254" s="36"/>
    </row>
    <row r="255" spans="84:129" ht="9" customHeight="1" x14ac:dyDescent="0.2">
      <c r="CF255" s="36"/>
      <c r="CG255" s="36"/>
      <c r="CH255" s="36"/>
      <c r="CI255" s="36"/>
      <c r="CJ255" s="36"/>
      <c r="CK255" s="36"/>
      <c r="CL255" s="36"/>
      <c r="CM255" s="37"/>
      <c r="CN255" s="36"/>
      <c r="CO255" s="36"/>
      <c r="CP255" s="36"/>
      <c r="CQ255" s="36"/>
      <c r="CR255" s="36"/>
      <c r="CS255" s="36"/>
      <c r="CT255" s="36"/>
      <c r="CU255" s="36"/>
      <c r="CV255" s="36"/>
      <c r="CW255" s="36"/>
      <c r="CX255" s="36"/>
      <c r="CY255" s="36"/>
      <c r="CZ255" s="36"/>
      <c r="DA255" s="36"/>
      <c r="DB255" s="36"/>
      <c r="DC255" s="36"/>
      <c r="DD255" s="36"/>
      <c r="DE255" s="36"/>
      <c r="DF255" s="36"/>
      <c r="DG255" s="36"/>
      <c r="DH255" s="36"/>
      <c r="DI255" s="36"/>
      <c r="DJ255" s="36"/>
      <c r="DK255" s="36"/>
      <c r="DL255" s="36"/>
      <c r="DM255" s="36"/>
      <c r="DN255" s="36"/>
      <c r="DO255" s="36"/>
      <c r="DP255" s="36"/>
      <c r="DQ255" s="36"/>
      <c r="DR255" s="36"/>
      <c r="DS255" s="36"/>
      <c r="DT255" s="36"/>
      <c r="DU255" s="36"/>
      <c r="DV255" s="36"/>
      <c r="DW255" s="36"/>
      <c r="DX255" s="36"/>
      <c r="DY255" s="36"/>
    </row>
    <row r="256" spans="84:129" ht="9" customHeight="1" x14ac:dyDescent="0.2">
      <c r="CF256" s="36"/>
      <c r="CG256" s="36"/>
      <c r="CH256" s="36"/>
      <c r="CI256" s="36"/>
      <c r="CJ256" s="36"/>
      <c r="CK256" s="36"/>
      <c r="CL256" s="36"/>
      <c r="CM256" s="37"/>
      <c r="CN256" s="36"/>
      <c r="CO256" s="36"/>
      <c r="CP256" s="36"/>
      <c r="CQ256" s="36"/>
      <c r="CR256" s="36"/>
      <c r="CS256" s="36"/>
      <c r="CT256" s="36"/>
      <c r="CU256" s="36"/>
      <c r="CV256" s="36"/>
      <c r="CW256" s="36"/>
      <c r="CX256" s="36"/>
      <c r="CY256" s="36"/>
      <c r="CZ256" s="36"/>
      <c r="DA256" s="36"/>
      <c r="DB256" s="36"/>
      <c r="DC256" s="36"/>
      <c r="DD256" s="36"/>
      <c r="DE256" s="36"/>
      <c r="DF256" s="36"/>
      <c r="DG256" s="36"/>
      <c r="DH256" s="36"/>
      <c r="DI256" s="36"/>
      <c r="DJ256" s="36"/>
      <c r="DK256" s="36"/>
      <c r="DL256" s="36"/>
      <c r="DM256" s="36"/>
      <c r="DN256" s="36"/>
      <c r="DO256" s="36"/>
      <c r="DP256" s="36"/>
      <c r="DQ256" s="36"/>
      <c r="DR256" s="36"/>
      <c r="DS256" s="36"/>
      <c r="DT256" s="36"/>
      <c r="DU256" s="36"/>
      <c r="DV256" s="36"/>
      <c r="DW256" s="36"/>
      <c r="DX256" s="36"/>
      <c r="DY256" s="36"/>
    </row>
    <row r="257" spans="84:129" ht="9" customHeight="1" x14ac:dyDescent="0.2">
      <c r="CF257" s="36"/>
      <c r="CG257" s="36"/>
      <c r="CH257" s="36"/>
      <c r="CI257" s="36"/>
      <c r="CJ257" s="36"/>
      <c r="CK257" s="36"/>
      <c r="CL257" s="36"/>
      <c r="CM257" s="37"/>
      <c r="CN257" s="36"/>
      <c r="CO257" s="36"/>
      <c r="CP257" s="36"/>
      <c r="CQ257" s="36"/>
      <c r="CR257" s="36"/>
      <c r="CS257" s="36"/>
      <c r="CT257" s="36"/>
      <c r="CU257" s="36"/>
      <c r="CV257" s="36"/>
      <c r="CW257" s="36"/>
      <c r="CX257" s="36"/>
      <c r="CY257" s="36"/>
      <c r="CZ257" s="36"/>
      <c r="DA257" s="36"/>
      <c r="DB257" s="36"/>
      <c r="DC257" s="36"/>
      <c r="DD257" s="36"/>
      <c r="DE257" s="36"/>
      <c r="DF257" s="36"/>
      <c r="DG257" s="36"/>
      <c r="DH257" s="36"/>
      <c r="DI257" s="36"/>
      <c r="DJ257" s="36"/>
      <c r="DK257" s="36"/>
      <c r="DL257" s="36"/>
      <c r="DM257" s="36"/>
      <c r="DN257" s="36"/>
      <c r="DO257" s="36"/>
      <c r="DP257" s="36"/>
      <c r="DQ257" s="36"/>
      <c r="DR257" s="36"/>
      <c r="DS257" s="36"/>
      <c r="DT257" s="36"/>
      <c r="DU257" s="36"/>
      <c r="DV257" s="36"/>
      <c r="DW257" s="36"/>
      <c r="DX257" s="36"/>
      <c r="DY257" s="36"/>
    </row>
    <row r="258" spans="84:129" ht="9" customHeight="1" x14ac:dyDescent="0.2">
      <c r="CF258" s="36"/>
      <c r="CG258" s="36"/>
      <c r="CH258" s="36"/>
      <c r="CI258" s="36"/>
      <c r="CJ258" s="36"/>
      <c r="CK258" s="36"/>
      <c r="CL258" s="36"/>
      <c r="CM258" s="37"/>
      <c r="CN258" s="36"/>
      <c r="CO258" s="36"/>
      <c r="CP258" s="36"/>
      <c r="CQ258" s="36"/>
      <c r="CR258" s="36"/>
      <c r="CS258" s="36"/>
      <c r="CT258" s="36"/>
      <c r="CU258" s="36"/>
      <c r="CV258" s="36"/>
      <c r="CW258" s="36"/>
      <c r="CX258" s="36"/>
      <c r="CY258" s="36"/>
      <c r="CZ258" s="36"/>
      <c r="DA258" s="36"/>
      <c r="DB258" s="36"/>
      <c r="DC258" s="36"/>
      <c r="DD258" s="36"/>
      <c r="DE258" s="36"/>
      <c r="DF258" s="36"/>
      <c r="DG258" s="36"/>
      <c r="DH258" s="36"/>
      <c r="DI258" s="36"/>
      <c r="DJ258" s="36"/>
      <c r="DK258" s="36"/>
      <c r="DL258" s="36"/>
      <c r="DM258" s="36"/>
      <c r="DN258" s="36"/>
      <c r="DO258" s="36"/>
      <c r="DP258" s="36"/>
      <c r="DQ258" s="36"/>
      <c r="DR258" s="36"/>
      <c r="DS258" s="36"/>
      <c r="DT258" s="36"/>
      <c r="DU258" s="36"/>
      <c r="DV258" s="36"/>
      <c r="DW258" s="36"/>
      <c r="DX258" s="36"/>
      <c r="DY258" s="36"/>
    </row>
    <row r="259" spans="84:129" ht="9" customHeight="1" x14ac:dyDescent="0.2">
      <c r="CF259" s="36"/>
      <c r="CG259" s="36"/>
      <c r="CH259" s="36"/>
      <c r="CI259" s="36"/>
      <c r="CJ259" s="36"/>
      <c r="CK259" s="36"/>
      <c r="CL259" s="36"/>
      <c r="CM259" s="37"/>
      <c r="CN259" s="36"/>
      <c r="CO259" s="36"/>
      <c r="CP259" s="36"/>
      <c r="CQ259" s="36"/>
      <c r="CR259" s="36"/>
      <c r="CS259" s="36"/>
      <c r="CT259" s="36"/>
      <c r="CU259" s="36"/>
      <c r="CV259" s="36"/>
      <c r="CW259" s="36"/>
      <c r="CX259" s="36"/>
      <c r="CY259" s="36"/>
      <c r="CZ259" s="36"/>
      <c r="DA259" s="36"/>
      <c r="DB259" s="36"/>
      <c r="DC259" s="36"/>
      <c r="DD259" s="36"/>
      <c r="DE259" s="36"/>
      <c r="DF259" s="36"/>
      <c r="DG259" s="36"/>
      <c r="DH259" s="36"/>
      <c r="DI259" s="36"/>
      <c r="DJ259" s="36"/>
      <c r="DK259" s="36"/>
      <c r="DL259" s="36"/>
      <c r="DM259" s="36"/>
      <c r="DN259" s="36"/>
      <c r="DO259" s="36"/>
      <c r="DP259" s="36"/>
      <c r="DQ259" s="36"/>
      <c r="DR259" s="36"/>
      <c r="DS259" s="36"/>
      <c r="DT259" s="36"/>
      <c r="DU259" s="36"/>
      <c r="DV259" s="36"/>
      <c r="DW259" s="36"/>
      <c r="DX259" s="36"/>
      <c r="DY259" s="36"/>
    </row>
    <row r="260" spans="84:129" ht="9" customHeight="1" x14ac:dyDescent="0.2">
      <c r="CF260" s="36"/>
      <c r="CG260" s="36"/>
      <c r="CH260" s="36"/>
      <c r="CI260" s="36"/>
      <c r="CJ260" s="36"/>
      <c r="CK260" s="36"/>
      <c r="CL260" s="36"/>
      <c r="CM260" s="37"/>
      <c r="CN260" s="36"/>
      <c r="CO260" s="36"/>
      <c r="CP260" s="36"/>
      <c r="CQ260" s="36"/>
      <c r="CR260" s="36"/>
      <c r="CS260" s="36"/>
      <c r="CT260" s="36"/>
      <c r="CU260" s="36"/>
      <c r="CV260" s="36"/>
      <c r="CW260" s="36"/>
      <c r="CX260" s="36"/>
      <c r="CY260" s="36"/>
      <c r="CZ260" s="36"/>
      <c r="DA260" s="36"/>
      <c r="DB260" s="36"/>
      <c r="DC260" s="36"/>
      <c r="DD260" s="36"/>
      <c r="DE260" s="36"/>
      <c r="DF260" s="36"/>
      <c r="DG260" s="36"/>
      <c r="DH260" s="36"/>
      <c r="DI260" s="36"/>
      <c r="DJ260" s="36"/>
      <c r="DK260" s="36"/>
      <c r="DL260" s="36"/>
      <c r="DM260" s="36"/>
      <c r="DN260" s="36"/>
      <c r="DO260" s="36"/>
      <c r="DP260" s="36"/>
      <c r="DQ260" s="36"/>
      <c r="DR260" s="36"/>
      <c r="DS260" s="36"/>
      <c r="DT260" s="36"/>
      <c r="DU260" s="36"/>
      <c r="DV260" s="36"/>
      <c r="DW260" s="36"/>
      <c r="DX260" s="36"/>
      <c r="DY260" s="36"/>
    </row>
    <row r="261" spans="84:129" ht="9" customHeight="1" x14ac:dyDescent="0.2">
      <c r="CF261" s="36"/>
      <c r="CG261" s="36"/>
      <c r="CH261" s="36"/>
      <c r="CI261" s="36"/>
      <c r="CJ261" s="36"/>
      <c r="CK261" s="36"/>
      <c r="CL261" s="36"/>
      <c r="CM261" s="37"/>
      <c r="CN261" s="36"/>
      <c r="CO261" s="36"/>
      <c r="CP261" s="36"/>
      <c r="CQ261" s="36"/>
      <c r="CR261" s="36"/>
      <c r="CS261" s="36"/>
      <c r="CT261" s="36"/>
      <c r="CU261" s="36"/>
      <c r="CV261" s="36"/>
      <c r="CW261" s="36"/>
      <c r="CX261" s="36"/>
      <c r="CY261" s="36"/>
      <c r="CZ261" s="36"/>
      <c r="DA261" s="36"/>
      <c r="DB261" s="36"/>
      <c r="DC261" s="36"/>
      <c r="DD261" s="36"/>
      <c r="DE261" s="36"/>
      <c r="DF261" s="36"/>
      <c r="DG261" s="36"/>
      <c r="DH261" s="36"/>
      <c r="DI261" s="36"/>
      <c r="DJ261" s="36"/>
      <c r="DK261" s="36"/>
      <c r="DL261" s="36"/>
      <c r="DM261" s="36"/>
      <c r="DN261" s="36"/>
      <c r="DO261" s="36"/>
      <c r="DP261" s="36"/>
      <c r="DQ261" s="36"/>
      <c r="DR261" s="36"/>
      <c r="DS261" s="36"/>
      <c r="DT261" s="36"/>
      <c r="DU261" s="36"/>
      <c r="DV261" s="36"/>
      <c r="DW261" s="36"/>
      <c r="DX261" s="36"/>
      <c r="DY261" s="36"/>
    </row>
    <row r="262" spans="84:129" ht="9" customHeight="1" x14ac:dyDescent="0.2">
      <c r="CF262" s="36"/>
      <c r="CG262" s="36"/>
      <c r="CH262" s="36"/>
      <c r="CI262" s="36"/>
      <c r="CJ262" s="36"/>
      <c r="CK262" s="36"/>
      <c r="CL262" s="36"/>
      <c r="CM262" s="37"/>
      <c r="CN262" s="36"/>
      <c r="CO262" s="36"/>
      <c r="CP262" s="36"/>
      <c r="CQ262" s="36"/>
      <c r="CR262" s="36"/>
      <c r="CS262" s="36"/>
      <c r="CT262" s="36"/>
      <c r="CU262" s="36"/>
      <c r="CV262" s="36"/>
      <c r="CW262" s="36"/>
      <c r="CX262" s="36"/>
      <c r="CY262" s="36"/>
      <c r="CZ262" s="36"/>
      <c r="DA262" s="36"/>
      <c r="DB262" s="36"/>
      <c r="DC262" s="36"/>
      <c r="DD262" s="36"/>
      <c r="DE262" s="36"/>
      <c r="DF262" s="36"/>
      <c r="DG262" s="36"/>
      <c r="DH262" s="36"/>
      <c r="DI262" s="36"/>
      <c r="DJ262" s="36"/>
      <c r="DK262" s="36"/>
      <c r="DL262" s="36"/>
      <c r="DM262" s="36"/>
      <c r="DN262" s="36"/>
      <c r="DO262" s="36"/>
      <c r="DP262" s="36"/>
      <c r="DQ262" s="36"/>
      <c r="DR262" s="36"/>
      <c r="DS262" s="36"/>
      <c r="DT262" s="36"/>
      <c r="DU262" s="36"/>
      <c r="DV262" s="36"/>
      <c r="DW262" s="36"/>
      <c r="DX262" s="36"/>
      <c r="DY262" s="36"/>
    </row>
    <row r="263" spans="84:129" ht="9" customHeight="1" x14ac:dyDescent="0.2">
      <c r="CF263" s="36"/>
      <c r="CG263" s="36"/>
      <c r="CH263" s="36"/>
      <c r="CI263" s="36"/>
      <c r="CJ263" s="36"/>
      <c r="CK263" s="36"/>
      <c r="CL263" s="36"/>
      <c r="CM263" s="37"/>
      <c r="CN263" s="36"/>
      <c r="CO263" s="36"/>
      <c r="CP263" s="36"/>
      <c r="CQ263" s="36"/>
      <c r="CR263" s="36"/>
      <c r="CS263" s="36"/>
      <c r="CT263" s="36"/>
      <c r="CU263" s="36"/>
      <c r="CV263" s="36"/>
      <c r="CW263" s="36"/>
      <c r="CX263" s="36"/>
      <c r="CY263" s="36"/>
      <c r="CZ263" s="36"/>
      <c r="DA263" s="36"/>
      <c r="DB263" s="36"/>
      <c r="DC263" s="36"/>
      <c r="DD263" s="36"/>
      <c r="DE263" s="36"/>
      <c r="DF263" s="36"/>
      <c r="DG263" s="36"/>
      <c r="DH263" s="36"/>
      <c r="DI263" s="36"/>
      <c r="DJ263" s="36"/>
      <c r="DK263" s="36"/>
      <c r="DL263" s="36"/>
      <c r="DM263" s="36"/>
      <c r="DN263" s="36"/>
      <c r="DO263" s="36"/>
      <c r="DP263" s="36"/>
      <c r="DQ263" s="36"/>
      <c r="DR263" s="36"/>
      <c r="DS263" s="36"/>
      <c r="DT263" s="36"/>
      <c r="DU263" s="36"/>
      <c r="DV263" s="36"/>
      <c r="DW263" s="36"/>
      <c r="DX263" s="36"/>
      <c r="DY263" s="36"/>
    </row>
    <row r="264" spans="84:129" ht="9" customHeight="1" x14ac:dyDescent="0.2">
      <c r="CF264" s="36"/>
      <c r="CG264" s="36"/>
      <c r="CH264" s="36"/>
      <c r="CI264" s="36"/>
      <c r="CJ264" s="36"/>
      <c r="CK264" s="36"/>
      <c r="CL264" s="36"/>
      <c r="CM264" s="37"/>
      <c r="CN264" s="36"/>
      <c r="CO264" s="36"/>
      <c r="CP264" s="36"/>
      <c r="CQ264" s="36"/>
      <c r="CR264" s="36"/>
      <c r="CS264" s="36"/>
      <c r="CT264" s="36"/>
      <c r="CU264" s="36"/>
      <c r="CV264" s="36"/>
      <c r="CW264" s="36"/>
      <c r="CX264" s="36"/>
      <c r="CY264" s="36"/>
      <c r="CZ264" s="36"/>
      <c r="DA264" s="36"/>
      <c r="DB264" s="36"/>
      <c r="DC264" s="36"/>
      <c r="DD264" s="36"/>
      <c r="DE264" s="36"/>
      <c r="DF264" s="36"/>
      <c r="DG264" s="36"/>
      <c r="DH264" s="36"/>
      <c r="DI264" s="36"/>
      <c r="DJ264" s="36"/>
      <c r="DK264" s="36"/>
      <c r="DL264" s="36"/>
      <c r="DM264" s="36"/>
      <c r="DN264" s="36"/>
      <c r="DO264" s="36"/>
      <c r="DP264" s="36"/>
      <c r="DQ264" s="36"/>
      <c r="DR264" s="36"/>
      <c r="DS264" s="36"/>
      <c r="DT264" s="36"/>
      <c r="DU264" s="36"/>
      <c r="DV264" s="36"/>
      <c r="DW264" s="36"/>
      <c r="DX264" s="36"/>
      <c r="DY264" s="36"/>
    </row>
    <row r="265" spans="84:129" ht="9" customHeight="1" x14ac:dyDescent="0.2">
      <c r="CF265" s="36"/>
      <c r="CG265" s="36"/>
      <c r="CH265" s="36"/>
      <c r="CI265" s="36"/>
      <c r="CJ265" s="36"/>
      <c r="CK265" s="36"/>
      <c r="CL265" s="36"/>
      <c r="CM265" s="37"/>
      <c r="CN265" s="36"/>
      <c r="CO265" s="36"/>
      <c r="CP265" s="36"/>
      <c r="CQ265" s="36"/>
      <c r="CR265" s="36"/>
      <c r="CS265" s="36"/>
      <c r="CT265" s="36"/>
      <c r="CU265" s="36"/>
      <c r="CV265" s="36"/>
      <c r="CW265" s="36"/>
      <c r="CX265" s="36"/>
      <c r="CY265" s="36"/>
      <c r="CZ265" s="36"/>
      <c r="DA265" s="36"/>
      <c r="DB265" s="36"/>
      <c r="DC265" s="36"/>
      <c r="DD265" s="36"/>
      <c r="DE265" s="36"/>
      <c r="DF265" s="36"/>
      <c r="DG265" s="36"/>
      <c r="DH265" s="36"/>
      <c r="DI265" s="36"/>
      <c r="DJ265" s="36"/>
      <c r="DK265" s="36"/>
      <c r="DL265" s="36"/>
      <c r="DM265" s="36"/>
      <c r="DN265" s="36"/>
      <c r="DO265" s="36"/>
      <c r="DP265" s="36"/>
      <c r="DQ265" s="36"/>
      <c r="DR265" s="36"/>
      <c r="DS265" s="36"/>
      <c r="DT265" s="36"/>
      <c r="DU265" s="36"/>
      <c r="DV265" s="36"/>
      <c r="DW265" s="36"/>
      <c r="DX265" s="36"/>
      <c r="DY265" s="36"/>
    </row>
    <row r="266" spans="84:129" ht="9" customHeight="1" x14ac:dyDescent="0.2">
      <c r="CF266" s="36"/>
      <c r="CG266" s="36"/>
      <c r="CH266" s="36"/>
      <c r="CI266" s="36"/>
      <c r="CJ266" s="36"/>
      <c r="CK266" s="36"/>
      <c r="CL266" s="36"/>
      <c r="CM266" s="37"/>
      <c r="CN266" s="36"/>
      <c r="CO266" s="36"/>
      <c r="CP266" s="36"/>
      <c r="CQ266" s="36"/>
      <c r="CR266" s="36"/>
      <c r="CS266" s="36"/>
      <c r="CT266" s="36"/>
      <c r="CU266" s="36"/>
      <c r="CV266" s="36"/>
      <c r="CW266" s="36"/>
      <c r="CX266" s="36"/>
      <c r="CY266" s="36"/>
      <c r="CZ266" s="36"/>
      <c r="DA266" s="36"/>
      <c r="DB266" s="36"/>
      <c r="DC266" s="36"/>
      <c r="DD266" s="36"/>
      <c r="DE266" s="36"/>
      <c r="DF266" s="36"/>
      <c r="DG266" s="36"/>
      <c r="DH266" s="36"/>
      <c r="DI266" s="36"/>
      <c r="DJ266" s="36"/>
      <c r="DK266" s="36"/>
      <c r="DL266" s="36"/>
      <c r="DM266" s="36"/>
      <c r="DN266" s="36"/>
      <c r="DO266" s="36"/>
      <c r="DP266" s="36"/>
      <c r="DQ266" s="36"/>
      <c r="DR266" s="36"/>
      <c r="DS266" s="36"/>
      <c r="DT266" s="36"/>
      <c r="DU266" s="36"/>
      <c r="DV266" s="36"/>
      <c r="DW266" s="36"/>
      <c r="DX266" s="36"/>
      <c r="DY266" s="36"/>
    </row>
    <row r="267" spans="84:129" ht="9" customHeight="1" x14ac:dyDescent="0.2">
      <c r="CF267" s="36"/>
      <c r="CG267" s="36"/>
      <c r="CH267" s="36"/>
      <c r="CI267" s="36"/>
      <c r="CJ267" s="36"/>
      <c r="CK267" s="36"/>
      <c r="CL267" s="36"/>
      <c r="CM267" s="37"/>
      <c r="CN267" s="36"/>
      <c r="CO267" s="36"/>
      <c r="CP267" s="36"/>
      <c r="CQ267" s="36"/>
      <c r="CR267" s="36"/>
      <c r="CS267" s="36"/>
      <c r="CT267" s="36"/>
      <c r="CU267" s="36"/>
      <c r="CV267" s="36"/>
      <c r="CW267" s="36"/>
      <c r="CX267" s="36"/>
      <c r="CY267" s="36"/>
      <c r="CZ267" s="36"/>
      <c r="DA267" s="36"/>
      <c r="DB267" s="36"/>
      <c r="DC267" s="36"/>
      <c r="DD267" s="36"/>
      <c r="DE267" s="36"/>
      <c r="DF267" s="36"/>
      <c r="DG267" s="36"/>
      <c r="DH267" s="36"/>
      <c r="DI267" s="36"/>
      <c r="DJ267" s="36"/>
      <c r="DK267" s="36"/>
      <c r="DL267" s="36"/>
      <c r="DM267" s="36"/>
      <c r="DN267" s="36"/>
      <c r="DO267" s="36"/>
      <c r="DP267" s="36"/>
      <c r="DQ267" s="36"/>
      <c r="DR267" s="36"/>
      <c r="DS267" s="36"/>
      <c r="DT267" s="36"/>
      <c r="DU267" s="36"/>
      <c r="DV267" s="36"/>
      <c r="DW267" s="36"/>
      <c r="DX267" s="36"/>
      <c r="DY267" s="36"/>
    </row>
    <row r="268" spans="84:129" ht="9" customHeight="1" x14ac:dyDescent="0.2">
      <c r="CF268" s="36"/>
      <c r="CG268" s="36"/>
      <c r="CH268" s="36"/>
      <c r="CI268" s="36"/>
      <c r="CJ268" s="36"/>
      <c r="CK268" s="36"/>
      <c r="CL268" s="36"/>
      <c r="CM268" s="37"/>
      <c r="CN268" s="36"/>
      <c r="CO268" s="36"/>
      <c r="CP268" s="36"/>
      <c r="CQ268" s="36"/>
      <c r="CR268" s="36"/>
      <c r="CS268" s="36"/>
      <c r="CT268" s="36"/>
      <c r="CU268" s="36"/>
      <c r="CV268" s="36"/>
      <c r="CW268" s="36"/>
      <c r="CX268" s="36"/>
      <c r="CY268" s="36"/>
      <c r="CZ268" s="36"/>
      <c r="DA268" s="36"/>
      <c r="DB268" s="36"/>
      <c r="DC268" s="36"/>
      <c r="DD268" s="36"/>
      <c r="DE268" s="36"/>
      <c r="DF268" s="36"/>
      <c r="DG268" s="36"/>
      <c r="DH268" s="36"/>
      <c r="DI268" s="36"/>
      <c r="DJ268" s="36"/>
      <c r="DK268" s="36"/>
      <c r="DL268" s="36"/>
      <c r="DM268" s="36"/>
      <c r="DN268" s="36"/>
      <c r="DO268" s="36"/>
      <c r="DP268" s="36"/>
      <c r="DQ268" s="36"/>
      <c r="DR268" s="36"/>
      <c r="DS268" s="36"/>
      <c r="DT268" s="36"/>
      <c r="DU268" s="36"/>
      <c r="DV268" s="36"/>
      <c r="DW268" s="36"/>
      <c r="DX268" s="36"/>
      <c r="DY268" s="36"/>
    </row>
    <row r="269" spans="84:129" ht="9" customHeight="1" x14ac:dyDescent="0.2">
      <c r="CF269" s="36"/>
      <c r="CG269" s="36"/>
      <c r="CH269" s="36"/>
      <c r="CI269" s="36"/>
      <c r="CJ269" s="36"/>
      <c r="CK269" s="36"/>
      <c r="CL269" s="36"/>
      <c r="CM269" s="37"/>
      <c r="CN269" s="36"/>
      <c r="CO269" s="36"/>
      <c r="CP269" s="36"/>
      <c r="CQ269" s="36"/>
      <c r="CR269" s="36"/>
      <c r="CS269" s="36"/>
      <c r="CT269" s="36"/>
      <c r="CU269" s="36"/>
      <c r="CV269" s="36"/>
      <c r="CW269" s="36"/>
      <c r="CX269" s="36"/>
      <c r="CY269" s="36"/>
      <c r="CZ269" s="36"/>
      <c r="DA269" s="36"/>
      <c r="DB269" s="36"/>
      <c r="DC269" s="36"/>
      <c r="DD269" s="36"/>
      <c r="DE269" s="36"/>
      <c r="DF269" s="36"/>
      <c r="DG269" s="36"/>
      <c r="DH269" s="36"/>
      <c r="DI269" s="36"/>
      <c r="DJ269" s="36"/>
      <c r="DK269" s="36"/>
      <c r="DL269" s="36"/>
      <c r="DM269" s="36"/>
      <c r="DN269" s="36"/>
      <c r="DO269" s="36"/>
      <c r="DP269" s="36"/>
      <c r="DQ269" s="36"/>
      <c r="DR269" s="36"/>
      <c r="DS269" s="36"/>
      <c r="DT269" s="36"/>
      <c r="DU269" s="36"/>
      <c r="DV269" s="36"/>
      <c r="DW269" s="36"/>
      <c r="DX269" s="36"/>
      <c r="DY269" s="36"/>
    </row>
    <row r="270" spans="84:129" ht="9" customHeight="1" x14ac:dyDescent="0.2">
      <c r="CF270" s="36"/>
      <c r="CG270" s="36"/>
      <c r="CH270" s="36"/>
      <c r="CI270" s="36"/>
      <c r="CJ270" s="36"/>
      <c r="CK270" s="36"/>
      <c r="CL270" s="36"/>
      <c r="CM270" s="37"/>
      <c r="CN270" s="36"/>
      <c r="CO270" s="36"/>
      <c r="CP270" s="36"/>
      <c r="CQ270" s="36"/>
      <c r="CR270" s="36"/>
      <c r="CS270" s="36"/>
      <c r="CT270" s="36"/>
      <c r="CU270" s="36"/>
      <c r="CV270" s="36"/>
      <c r="CW270" s="36"/>
      <c r="CX270" s="36"/>
      <c r="CY270" s="36"/>
      <c r="CZ270" s="36"/>
      <c r="DA270" s="36"/>
      <c r="DB270" s="36"/>
      <c r="DC270" s="36"/>
      <c r="DD270" s="36"/>
      <c r="DE270" s="36"/>
      <c r="DF270" s="36"/>
      <c r="DG270" s="36"/>
      <c r="DH270" s="36"/>
      <c r="DI270" s="36"/>
      <c r="DJ270" s="36"/>
      <c r="DK270" s="36"/>
      <c r="DL270" s="36"/>
      <c r="DM270" s="36"/>
      <c r="DN270" s="36"/>
      <c r="DO270" s="36"/>
      <c r="DP270" s="36"/>
      <c r="DQ270" s="36"/>
      <c r="DR270" s="36"/>
      <c r="DS270" s="36"/>
      <c r="DT270" s="36"/>
      <c r="DU270" s="36"/>
      <c r="DV270" s="36"/>
      <c r="DW270" s="36"/>
      <c r="DX270" s="36"/>
      <c r="DY270" s="36"/>
    </row>
    <row r="271" spans="84:129" ht="9" customHeight="1" x14ac:dyDescent="0.2">
      <c r="CF271" s="36"/>
      <c r="CG271" s="36"/>
      <c r="CH271" s="36"/>
      <c r="CI271" s="36"/>
      <c r="CJ271" s="36"/>
      <c r="CK271" s="36"/>
      <c r="CL271" s="36"/>
      <c r="CM271" s="37"/>
      <c r="CN271" s="36"/>
      <c r="CO271" s="36"/>
      <c r="CP271" s="36"/>
      <c r="CQ271" s="36"/>
      <c r="CR271" s="36"/>
      <c r="CS271" s="36"/>
      <c r="CT271" s="36"/>
      <c r="CU271" s="36"/>
      <c r="CV271" s="36"/>
      <c r="CW271" s="36"/>
      <c r="CX271" s="36"/>
      <c r="CY271" s="36"/>
      <c r="CZ271" s="36"/>
      <c r="DA271" s="36"/>
      <c r="DB271" s="36"/>
      <c r="DC271" s="36"/>
      <c r="DD271" s="36"/>
      <c r="DE271" s="36"/>
      <c r="DF271" s="36"/>
      <c r="DG271" s="36"/>
      <c r="DH271" s="36"/>
      <c r="DI271" s="36"/>
      <c r="DJ271" s="36"/>
      <c r="DK271" s="36"/>
      <c r="DL271" s="36"/>
      <c r="DM271" s="36"/>
      <c r="DN271" s="36"/>
      <c r="DO271" s="36"/>
      <c r="DP271" s="36"/>
      <c r="DQ271" s="36"/>
      <c r="DR271" s="36"/>
      <c r="DS271" s="36"/>
      <c r="DT271" s="36"/>
      <c r="DU271" s="36"/>
      <c r="DV271" s="36"/>
      <c r="DW271" s="36"/>
      <c r="DX271" s="36"/>
      <c r="DY271" s="36"/>
    </row>
    <row r="272" spans="84:129" ht="9" customHeight="1" x14ac:dyDescent="0.2">
      <c r="CF272" s="36"/>
      <c r="CG272" s="36"/>
      <c r="CH272" s="36"/>
      <c r="CI272" s="36"/>
      <c r="CJ272" s="36"/>
      <c r="CK272" s="36"/>
      <c r="CL272" s="36"/>
      <c r="CM272" s="37"/>
      <c r="CN272" s="36"/>
      <c r="CO272" s="36"/>
      <c r="CP272" s="36"/>
      <c r="CQ272" s="36"/>
      <c r="CR272" s="36"/>
      <c r="CS272" s="36"/>
      <c r="CT272" s="36"/>
      <c r="CU272" s="36"/>
      <c r="CV272" s="36"/>
      <c r="CW272" s="36"/>
      <c r="CX272" s="36"/>
      <c r="CY272" s="36"/>
      <c r="CZ272" s="36"/>
      <c r="DA272" s="36"/>
      <c r="DB272" s="36"/>
      <c r="DC272" s="36"/>
      <c r="DD272" s="36"/>
      <c r="DE272" s="36"/>
      <c r="DF272" s="36"/>
      <c r="DG272" s="36"/>
      <c r="DH272" s="36"/>
      <c r="DI272" s="36"/>
      <c r="DJ272" s="36"/>
      <c r="DK272" s="36"/>
      <c r="DL272" s="36"/>
      <c r="DM272" s="36"/>
      <c r="DN272" s="36"/>
      <c r="DO272" s="36"/>
      <c r="DP272" s="36"/>
      <c r="DQ272" s="36"/>
      <c r="DR272" s="36"/>
      <c r="DS272" s="36"/>
      <c r="DT272" s="36"/>
      <c r="DU272" s="36"/>
      <c r="DV272" s="36"/>
      <c r="DW272" s="36"/>
      <c r="DX272" s="36"/>
      <c r="DY272" s="36"/>
    </row>
    <row r="273" spans="84:129" ht="9" customHeight="1" x14ac:dyDescent="0.2">
      <c r="CF273" s="36"/>
      <c r="CG273" s="36"/>
      <c r="CH273" s="36"/>
      <c r="CI273" s="36"/>
      <c r="CJ273" s="36"/>
      <c r="CK273" s="36"/>
      <c r="CL273" s="36"/>
      <c r="CM273" s="37"/>
      <c r="CN273" s="36"/>
      <c r="CO273" s="36"/>
      <c r="CP273" s="36"/>
      <c r="CQ273" s="36"/>
      <c r="CR273" s="36"/>
      <c r="CS273" s="36"/>
      <c r="CT273" s="36"/>
      <c r="CU273" s="36"/>
      <c r="CV273" s="36"/>
      <c r="CW273" s="36"/>
      <c r="CX273" s="36"/>
      <c r="CY273" s="36"/>
      <c r="CZ273" s="36"/>
      <c r="DA273" s="36"/>
      <c r="DB273" s="36"/>
      <c r="DC273" s="36"/>
      <c r="DD273" s="36"/>
      <c r="DE273" s="36"/>
      <c r="DF273" s="36"/>
      <c r="DG273" s="36"/>
      <c r="DH273" s="36"/>
      <c r="DI273" s="36"/>
      <c r="DJ273" s="36"/>
      <c r="DK273" s="36"/>
      <c r="DL273" s="36"/>
      <c r="DM273" s="36"/>
      <c r="DN273" s="36"/>
      <c r="DO273" s="36"/>
      <c r="DP273" s="36"/>
      <c r="DQ273" s="36"/>
      <c r="DR273" s="36"/>
      <c r="DS273" s="36"/>
      <c r="DT273" s="36"/>
      <c r="DU273" s="36"/>
      <c r="DV273" s="36"/>
      <c r="DW273" s="36"/>
      <c r="DX273" s="36"/>
      <c r="DY273" s="36"/>
    </row>
    <row r="274" spans="84:129" ht="9" customHeight="1" x14ac:dyDescent="0.2">
      <c r="CF274" s="36"/>
      <c r="CG274" s="36"/>
      <c r="CH274" s="36"/>
      <c r="CI274" s="36"/>
      <c r="CJ274" s="36"/>
      <c r="CK274" s="36"/>
      <c r="CL274" s="36"/>
      <c r="CM274" s="37"/>
      <c r="CN274" s="36"/>
      <c r="CO274" s="36"/>
      <c r="CP274" s="36"/>
      <c r="CQ274" s="36"/>
      <c r="CR274" s="36"/>
      <c r="CS274" s="36"/>
      <c r="CT274" s="36"/>
      <c r="CU274" s="36"/>
      <c r="CV274" s="36"/>
      <c r="CW274" s="36"/>
      <c r="CX274" s="36"/>
      <c r="CY274" s="36"/>
      <c r="CZ274" s="36"/>
      <c r="DA274" s="36"/>
      <c r="DB274" s="36"/>
      <c r="DC274" s="36"/>
      <c r="DD274" s="36"/>
      <c r="DE274" s="36"/>
      <c r="DF274" s="36"/>
      <c r="DG274" s="36"/>
      <c r="DH274" s="36"/>
      <c r="DI274" s="36"/>
      <c r="DJ274" s="36"/>
      <c r="DK274" s="36"/>
      <c r="DL274" s="36"/>
      <c r="DM274" s="36"/>
      <c r="DN274" s="36"/>
      <c r="DO274" s="36"/>
      <c r="DP274" s="36"/>
      <c r="DQ274" s="36"/>
      <c r="DR274" s="36"/>
      <c r="DS274" s="36"/>
      <c r="DT274" s="36"/>
      <c r="DU274" s="36"/>
      <c r="DV274" s="36"/>
      <c r="DW274" s="36"/>
      <c r="DX274" s="36"/>
      <c r="DY274" s="36"/>
    </row>
    <row r="275" spans="84:129" ht="9" customHeight="1" x14ac:dyDescent="0.2">
      <c r="CF275" s="36"/>
      <c r="CG275" s="36"/>
      <c r="CH275" s="36"/>
      <c r="CI275" s="36"/>
      <c r="CJ275" s="36"/>
      <c r="CK275" s="36"/>
      <c r="CL275" s="36"/>
      <c r="CM275" s="37"/>
      <c r="CN275" s="36"/>
      <c r="CO275" s="36"/>
      <c r="CP275" s="36"/>
      <c r="CQ275" s="36"/>
      <c r="CR275" s="36"/>
      <c r="CS275" s="36"/>
      <c r="CT275" s="36"/>
      <c r="CU275" s="36"/>
      <c r="CV275" s="36"/>
      <c r="CW275" s="36"/>
      <c r="CX275" s="36"/>
      <c r="CY275" s="36"/>
      <c r="CZ275" s="36"/>
      <c r="DA275" s="36"/>
      <c r="DB275" s="36"/>
      <c r="DC275" s="36"/>
      <c r="DD275" s="36"/>
      <c r="DE275" s="36"/>
      <c r="DF275" s="36"/>
      <c r="DG275" s="36"/>
      <c r="DH275" s="36"/>
      <c r="DI275" s="36"/>
      <c r="DJ275" s="36"/>
      <c r="DK275" s="36"/>
      <c r="DL275" s="36"/>
      <c r="DM275" s="36"/>
      <c r="DN275" s="36"/>
      <c r="DO275" s="36"/>
      <c r="DP275" s="36"/>
      <c r="DQ275" s="36"/>
      <c r="DR275" s="36"/>
      <c r="DS275" s="36"/>
      <c r="DT275" s="36"/>
      <c r="DU275" s="36"/>
      <c r="DV275" s="36"/>
      <c r="DW275" s="36"/>
      <c r="DX275" s="36"/>
      <c r="DY275" s="36"/>
    </row>
    <row r="276" spans="84:129" ht="9" customHeight="1" x14ac:dyDescent="0.2">
      <c r="CF276" s="36"/>
      <c r="CG276" s="36"/>
      <c r="CH276" s="36"/>
      <c r="CI276" s="36"/>
      <c r="CJ276" s="36"/>
      <c r="CK276" s="36"/>
      <c r="CL276" s="36"/>
      <c r="CM276" s="37"/>
      <c r="CN276" s="36"/>
      <c r="CO276" s="36"/>
      <c r="CP276" s="36"/>
      <c r="CQ276" s="36"/>
      <c r="CR276" s="36"/>
      <c r="CS276" s="36"/>
      <c r="CT276" s="36"/>
      <c r="CU276" s="36"/>
      <c r="CV276" s="36"/>
      <c r="CW276" s="36"/>
      <c r="CX276" s="36"/>
      <c r="CY276" s="36"/>
      <c r="CZ276" s="36"/>
      <c r="DA276" s="36"/>
      <c r="DB276" s="36"/>
      <c r="DC276" s="36"/>
      <c r="DD276" s="36"/>
      <c r="DE276" s="36"/>
      <c r="DF276" s="36"/>
      <c r="DG276" s="36"/>
      <c r="DH276" s="36"/>
      <c r="DI276" s="36"/>
      <c r="DJ276" s="36"/>
      <c r="DK276" s="36"/>
      <c r="DL276" s="36"/>
      <c r="DM276" s="36"/>
      <c r="DN276" s="36"/>
      <c r="DO276" s="36"/>
      <c r="DP276" s="36"/>
      <c r="DQ276" s="36"/>
      <c r="DR276" s="36"/>
      <c r="DS276" s="36"/>
      <c r="DT276" s="36"/>
      <c r="DU276" s="36"/>
      <c r="DV276" s="36"/>
      <c r="DW276" s="36"/>
      <c r="DX276" s="36"/>
      <c r="DY276" s="36"/>
    </row>
    <row r="277" spans="84:129" ht="9" customHeight="1" x14ac:dyDescent="0.2">
      <c r="CF277" s="36"/>
      <c r="CG277" s="36"/>
      <c r="CH277" s="36"/>
      <c r="CI277" s="36"/>
      <c r="CJ277" s="36"/>
      <c r="CK277" s="36"/>
      <c r="CL277" s="36"/>
      <c r="CM277" s="37"/>
      <c r="CN277" s="36"/>
      <c r="CO277" s="36"/>
      <c r="CP277" s="36"/>
      <c r="CQ277" s="36"/>
      <c r="CR277" s="36"/>
      <c r="CS277" s="36"/>
      <c r="CT277" s="36"/>
      <c r="CU277" s="36"/>
      <c r="CV277" s="36"/>
      <c r="CW277" s="36"/>
      <c r="CX277" s="36"/>
      <c r="CY277" s="36"/>
      <c r="CZ277" s="36"/>
      <c r="DA277" s="36"/>
      <c r="DB277" s="36"/>
      <c r="DC277" s="36"/>
      <c r="DD277" s="36"/>
      <c r="DE277" s="36"/>
      <c r="DF277" s="36"/>
      <c r="DG277" s="36"/>
      <c r="DH277" s="36"/>
      <c r="DI277" s="36"/>
      <c r="DJ277" s="36"/>
      <c r="DK277" s="36"/>
      <c r="DL277" s="36"/>
      <c r="DM277" s="36"/>
      <c r="DN277" s="36"/>
      <c r="DO277" s="36"/>
      <c r="DP277" s="36"/>
      <c r="DQ277" s="36"/>
      <c r="DR277" s="36"/>
      <c r="DS277" s="36"/>
      <c r="DT277" s="36"/>
      <c r="DU277" s="36"/>
      <c r="DV277" s="36"/>
      <c r="DW277" s="36"/>
      <c r="DX277" s="36"/>
      <c r="DY277" s="36"/>
    </row>
    <row r="278" spans="84:129" ht="9" customHeight="1" x14ac:dyDescent="0.2">
      <c r="CF278" s="36"/>
      <c r="CG278" s="36"/>
      <c r="CH278" s="36"/>
      <c r="CI278" s="36"/>
      <c r="CJ278" s="36"/>
      <c r="CK278" s="36"/>
      <c r="CL278" s="36"/>
      <c r="CM278" s="37"/>
      <c r="CN278" s="36"/>
      <c r="CO278" s="36"/>
      <c r="CP278" s="36"/>
      <c r="CQ278" s="36"/>
      <c r="CR278" s="36"/>
      <c r="CS278" s="36"/>
      <c r="CT278" s="36"/>
      <c r="CU278" s="36"/>
      <c r="CV278" s="36"/>
      <c r="CW278" s="36"/>
      <c r="CX278" s="36"/>
      <c r="CY278" s="36"/>
      <c r="CZ278" s="36"/>
      <c r="DA278" s="36"/>
      <c r="DB278" s="36"/>
      <c r="DC278" s="36"/>
      <c r="DD278" s="36"/>
      <c r="DE278" s="36"/>
      <c r="DF278" s="36"/>
      <c r="DG278" s="36"/>
      <c r="DH278" s="36"/>
      <c r="DI278" s="36"/>
      <c r="DJ278" s="36"/>
      <c r="DK278" s="36"/>
      <c r="DL278" s="36"/>
      <c r="DM278" s="36"/>
      <c r="DN278" s="36"/>
      <c r="DO278" s="36"/>
      <c r="DP278" s="36"/>
      <c r="DQ278" s="36"/>
      <c r="DR278" s="36"/>
      <c r="DS278" s="36"/>
      <c r="DT278" s="36"/>
      <c r="DU278" s="36"/>
      <c r="DV278" s="36"/>
      <c r="DW278" s="36"/>
      <c r="DX278" s="36"/>
      <c r="DY278" s="36"/>
    </row>
    <row r="279" spans="84:129" ht="9" customHeight="1" x14ac:dyDescent="0.2">
      <c r="CF279" s="36"/>
      <c r="CG279" s="36"/>
      <c r="CH279" s="36"/>
      <c r="CI279" s="36"/>
      <c r="CJ279" s="36"/>
      <c r="CK279" s="36"/>
      <c r="CL279" s="36"/>
      <c r="CM279" s="37"/>
      <c r="CN279" s="36"/>
      <c r="CO279" s="36"/>
      <c r="CP279" s="36"/>
      <c r="CQ279" s="36"/>
      <c r="CR279" s="36"/>
      <c r="CS279" s="36"/>
      <c r="CT279" s="36"/>
      <c r="CU279" s="36"/>
      <c r="CV279" s="36"/>
      <c r="CW279" s="36"/>
      <c r="CX279" s="36"/>
      <c r="CY279" s="36"/>
      <c r="CZ279" s="36"/>
      <c r="DA279" s="36"/>
      <c r="DB279" s="36"/>
      <c r="DC279" s="36"/>
      <c r="DD279" s="36"/>
      <c r="DE279" s="36"/>
      <c r="DF279" s="36"/>
      <c r="DG279" s="36"/>
      <c r="DH279" s="36"/>
      <c r="DI279" s="36"/>
      <c r="DJ279" s="36"/>
      <c r="DK279" s="36"/>
      <c r="DL279" s="36"/>
      <c r="DM279" s="36"/>
      <c r="DN279" s="36"/>
      <c r="DO279" s="36"/>
      <c r="DP279" s="36"/>
      <c r="DQ279" s="36"/>
      <c r="DR279" s="36"/>
      <c r="DS279" s="36"/>
      <c r="DT279" s="36"/>
      <c r="DU279" s="36"/>
      <c r="DV279" s="36"/>
      <c r="DW279" s="36"/>
      <c r="DX279" s="36"/>
      <c r="DY279" s="36"/>
    </row>
    <row r="280" spans="84:129" ht="9" customHeight="1" x14ac:dyDescent="0.2">
      <c r="CF280" s="36"/>
      <c r="CG280" s="36"/>
      <c r="CH280" s="36"/>
      <c r="CI280" s="36"/>
      <c r="CJ280" s="36"/>
      <c r="CK280" s="36"/>
      <c r="CL280" s="36"/>
      <c r="CM280" s="37"/>
      <c r="CN280" s="36"/>
      <c r="CO280" s="36"/>
      <c r="CP280" s="36"/>
      <c r="CQ280" s="36"/>
      <c r="CR280" s="36"/>
      <c r="CS280" s="36"/>
      <c r="CT280" s="36"/>
      <c r="CU280" s="36"/>
      <c r="CV280" s="36"/>
      <c r="CW280" s="36"/>
      <c r="CX280" s="36"/>
      <c r="CY280" s="36"/>
      <c r="CZ280" s="36"/>
      <c r="DA280" s="36"/>
      <c r="DB280" s="36"/>
      <c r="DC280" s="36"/>
      <c r="DD280" s="36"/>
      <c r="DE280" s="36"/>
      <c r="DF280" s="36"/>
      <c r="DG280" s="36"/>
      <c r="DH280" s="36"/>
      <c r="DI280" s="36"/>
      <c r="DJ280" s="36"/>
      <c r="DK280" s="36"/>
      <c r="DL280" s="36"/>
      <c r="DM280" s="36"/>
      <c r="DN280" s="36"/>
      <c r="DO280" s="36"/>
      <c r="DP280" s="36"/>
      <c r="DQ280" s="36"/>
      <c r="DR280" s="36"/>
      <c r="DS280" s="36"/>
      <c r="DT280" s="36"/>
      <c r="DU280" s="36"/>
      <c r="DV280" s="36"/>
      <c r="DW280" s="36"/>
      <c r="DX280" s="36"/>
      <c r="DY280" s="36"/>
    </row>
    <row r="281" spans="84:129" ht="9" customHeight="1" x14ac:dyDescent="0.2">
      <c r="CF281" s="36"/>
      <c r="CG281" s="36"/>
      <c r="CH281" s="36"/>
      <c r="CI281" s="36"/>
      <c r="CJ281" s="36"/>
      <c r="CK281" s="36"/>
      <c r="CL281" s="36"/>
      <c r="CM281" s="37"/>
      <c r="CN281" s="36"/>
      <c r="CO281" s="36"/>
      <c r="CP281" s="36"/>
      <c r="CQ281" s="36"/>
      <c r="CR281" s="36"/>
      <c r="CS281" s="36"/>
      <c r="CT281" s="36"/>
      <c r="CU281" s="36"/>
      <c r="CV281" s="36"/>
      <c r="CW281" s="36"/>
      <c r="CX281" s="36"/>
      <c r="CY281" s="36"/>
      <c r="CZ281" s="36"/>
      <c r="DA281" s="36"/>
      <c r="DB281" s="36"/>
      <c r="DC281" s="36"/>
      <c r="DD281" s="36"/>
      <c r="DE281" s="36"/>
      <c r="DF281" s="36"/>
      <c r="DG281" s="36"/>
      <c r="DH281" s="36"/>
      <c r="DI281" s="36"/>
      <c r="DJ281" s="36"/>
      <c r="DK281" s="36"/>
      <c r="DL281" s="36"/>
      <c r="DM281" s="36"/>
      <c r="DN281" s="36"/>
      <c r="DO281" s="36"/>
      <c r="DP281" s="36"/>
      <c r="DQ281" s="36"/>
      <c r="DR281" s="36"/>
      <c r="DS281" s="36"/>
      <c r="DT281" s="36"/>
      <c r="DU281" s="36"/>
      <c r="DV281" s="36"/>
      <c r="DW281" s="36"/>
      <c r="DX281" s="36"/>
      <c r="DY281" s="36"/>
    </row>
    <row r="282" spans="84:129" ht="9" customHeight="1" x14ac:dyDescent="0.2">
      <c r="CF282" s="36"/>
      <c r="CG282" s="36"/>
      <c r="CH282" s="36"/>
      <c r="CI282" s="36"/>
      <c r="CJ282" s="36"/>
      <c r="CK282" s="36"/>
      <c r="CL282" s="36"/>
      <c r="CM282" s="37"/>
      <c r="CN282" s="36"/>
      <c r="CO282" s="36"/>
      <c r="CP282" s="36"/>
      <c r="CQ282" s="36"/>
      <c r="CR282" s="36"/>
      <c r="CS282" s="36"/>
      <c r="CT282" s="36"/>
      <c r="CU282" s="36"/>
      <c r="CV282" s="36"/>
      <c r="CW282" s="36"/>
      <c r="CX282" s="36"/>
      <c r="CY282" s="36"/>
      <c r="CZ282" s="36"/>
      <c r="DA282" s="36"/>
      <c r="DB282" s="36"/>
      <c r="DC282" s="36"/>
      <c r="DD282" s="36"/>
      <c r="DE282" s="36"/>
      <c r="DF282" s="36"/>
      <c r="DG282" s="36"/>
      <c r="DH282" s="36"/>
      <c r="DI282" s="36"/>
      <c r="DJ282" s="36"/>
      <c r="DK282" s="36"/>
      <c r="DL282" s="36"/>
      <c r="DM282" s="36"/>
      <c r="DN282" s="36"/>
      <c r="DO282" s="36"/>
      <c r="DP282" s="36"/>
      <c r="DQ282" s="36"/>
      <c r="DR282" s="36"/>
      <c r="DS282" s="36"/>
      <c r="DT282" s="36"/>
      <c r="DU282" s="36"/>
      <c r="DV282" s="36"/>
      <c r="DW282" s="36"/>
      <c r="DX282" s="36"/>
      <c r="DY282" s="36"/>
    </row>
    <row r="283" spans="84:129" ht="9" customHeight="1" x14ac:dyDescent="0.2">
      <c r="CF283" s="36"/>
      <c r="CG283" s="36"/>
      <c r="CH283" s="36"/>
      <c r="CI283" s="36"/>
      <c r="CJ283" s="36"/>
      <c r="CK283" s="36"/>
      <c r="CL283" s="36"/>
      <c r="CM283" s="37"/>
      <c r="CN283" s="36"/>
      <c r="CO283" s="36"/>
      <c r="CP283" s="36"/>
      <c r="CQ283" s="36"/>
      <c r="CR283" s="36"/>
      <c r="CS283" s="36"/>
      <c r="CT283" s="36"/>
      <c r="CU283" s="36"/>
      <c r="CV283" s="36"/>
      <c r="CW283" s="36"/>
      <c r="CX283" s="36"/>
      <c r="CY283" s="36"/>
      <c r="CZ283" s="36"/>
      <c r="DA283" s="36"/>
      <c r="DB283" s="36"/>
      <c r="DC283" s="36"/>
      <c r="DD283" s="36"/>
      <c r="DE283" s="36"/>
      <c r="DF283" s="36"/>
      <c r="DG283" s="36"/>
      <c r="DH283" s="36"/>
      <c r="DI283" s="36"/>
      <c r="DJ283" s="36"/>
      <c r="DK283" s="36"/>
      <c r="DL283" s="36"/>
      <c r="DM283" s="36"/>
      <c r="DN283" s="36"/>
      <c r="DO283" s="36"/>
      <c r="DP283" s="36"/>
      <c r="DQ283" s="36"/>
      <c r="DR283" s="36"/>
      <c r="DS283" s="36"/>
      <c r="DT283" s="36"/>
      <c r="DU283" s="36"/>
      <c r="DV283" s="36"/>
      <c r="DW283" s="36"/>
      <c r="DX283" s="36"/>
      <c r="DY283" s="36"/>
    </row>
    <row r="284" spans="84:129" ht="9" customHeight="1" x14ac:dyDescent="0.2">
      <c r="CF284" s="36"/>
      <c r="CG284" s="36"/>
      <c r="CH284" s="36"/>
      <c r="CI284" s="36"/>
      <c r="CJ284" s="36"/>
      <c r="CK284" s="36"/>
      <c r="CL284" s="36"/>
      <c r="CM284" s="37"/>
      <c r="CN284" s="36"/>
      <c r="CO284" s="36"/>
      <c r="CP284" s="36"/>
      <c r="CQ284" s="36"/>
      <c r="CR284" s="36"/>
      <c r="CS284" s="36"/>
      <c r="CT284" s="36"/>
      <c r="CU284" s="36"/>
      <c r="CV284" s="36"/>
      <c r="CW284" s="36"/>
      <c r="CX284" s="36"/>
      <c r="CY284" s="36"/>
      <c r="CZ284" s="36"/>
      <c r="DA284" s="36"/>
      <c r="DB284" s="36"/>
      <c r="DC284" s="36"/>
      <c r="DD284" s="36"/>
      <c r="DE284" s="36"/>
      <c r="DF284" s="36"/>
      <c r="DG284" s="36"/>
      <c r="DH284" s="36"/>
      <c r="DI284" s="36"/>
      <c r="DJ284" s="36"/>
      <c r="DK284" s="36"/>
      <c r="DL284" s="36"/>
      <c r="DM284" s="36"/>
      <c r="DN284" s="36"/>
      <c r="DO284" s="36"/>
      <c r="DP284" s="36"/>
      <c r="DQ284" s="36"/>
      <c r="DR284" s="36"/>
      <c r="DS284" s="36"/>
      <c r="DT284" s="36"/>
      <c r="DU284" s="36"/>
      <c r="DV284" s="36"/>
      <c r="DW284" s="36"/>
      <c r="DX284" s="36"/>
      <c r="DY284" s="36"/>
    </row>
    <row r="285" spans="84:129" ht="9" customHeight="1" x14ac:dyDescent="0.2">
      <c r="CF285" s="36"/>
      <c r="CG285" s="36"/>
      <c r="CH285" s="36"/>
      <c r="CI285" s="36"/>
      <c r="CJ285" s="36"/>
      <c r="CK285" s="36"/>
      <c r="CL285" s="36"/>
      <c r="CM285" s="37"/>
      <c r="CN285" s="36"/>
      <c r="CO285" s="36"/>
      <c r="CP285" s="36"/>
      <c r="CQ285" s="36"/>
      <c r="CR285" s="36"/>
      <c r="CS285" s="36"/>
      <c r="CT285" s="36"/>
      <c r="CU285" s="36"/>
      <c r="CV285" s="36"/>
      <c r="CW285" s="36"/>
      <c r="CX285" s="36"/>
      <c r="CY285" s="36"/>
      <c r="CZ285" s="36"/>
      <c r="DA285" s="36"/>
      <c r="DB285" s="36"/>
      <c r="DC285" s="36"/>
      <c r="DD285" s="36"/>
      <c r="DE285" s="36"/>
      <c r="DF285" s="36"/>
      <c r="DG285" s="36"/>
      <c r="DH285" s="36"/>
      <c r="DI285" s="36"/>
      <c r="DJ285" s="36"/>
      <c r="DK285" s="36"/>
      <c r="DL285" s="36"/>
      <c r="DM285" s="36"/>
      <c r="DN285" s="36"/>
      <c r="DO285" s="36"/>
      <c r="DP285" s="36"/>
      <c r="DQ285" s="36"/>
      <c r="DR285" s="36"/>
      <c r="DS285" s="36"/>
      <c r="DT285" s="36"/>
      <c r="DU285" s="36"/>
      <c r="DV285" s="36"/>
      <c r="DW285" s="36"/>
      <c r="DX285" s="36"/>
      <c r="DY285" s="36"/>
    </row>
    <row r="286" spans="84:129" ht="9" customHeight="1" x14ac:dyDescent="0.2">
      <c r="CF286" s="36"/>
      <c r="CG286" s="36"/>
      <c r="CH286" s="36"/>
      <c r="CI286" s="36"/>
      <c r="CJ286" s="36"/>
      <c r="CK286" s="36"/>
      <c r="CL286" s="36"/>
      <c r="CM286" s="37"/>
      <c r="CN286" s="36"/>
      <c r="CO286" s="36"/>
      <c r="CP286" s="36"/>
      <c r="CQ286" s="36"/>
      <c r="CR286" s="36"/>
      <c r="CS286" s="36"/>
      <c r="CT286" s="36"/>
      <c r="CU286" s="36"/>
      <c r="CV286" s="36"/>
      <c r="CW286" s="36"/>
      <c r="CX286" s="36"/>
      <c r="CY286" s="36"/>
      <c r="CZ286" s="36"/>
      <c r="DA286" s="36"/>
      <c r="DB286" s="36"/>
      <c r="DC286" s="36"/>
      <c r="DD286" s="36"/>
      <c r="DE286" s="36"/>
      <c r="DF286" s="36"/>
      <c r="DG286" s="36"/>
      <c r="DH286" s="36"/>
      <c r="DI286" s="36"/>
      <c r="DJ286" s="36"/>
      <c r="DK286" s="36"/>
      <c r="DL286" s="36"/>
      <c r="DM286" s="36"/>
      <c r="DN286" s="36"/>
      <c r="DO286" s="36"/>
      <c r="DP286" s="36"/>
      <c r="DQ286" s="36"/>
      <c r="DR286" s="36"/>
      <c r="DS286" s="36"/>
      <c r="DT286" s="36"/>
      <c r="DU286" s="36"/>
      <c r="DV286" s="36"/>
      <c r="DW286" s="36"/>
      <c r="DX286" s="36"/>
      <c r="DY286" s="36"/>
    </row>
    <row r="287" spans="84:129" ht="9" customHeight="1" x14ac:dyDescent="0.2">
      <c r="CF287" s="36"/>
      <c r="CG287" s="36"/>
      <c r="CH287" s="36"/>
      <c r="CI287" s="36"/>
      <c r="CJ287" s="36"/>
      <c r="CK287" s="36"/>
      <c r="CL287" s="36"/>
      <c r="CM287" s="37"/>
      <c r="CN287" s="36"/>
      <c r="CO287" s="36"/>
      <c r="CP287" s="36"/>
      <c r="CQ287" s="36"/>
      <c r="CR287" s="36"/>
      <c r="CS287" s="36"/>
      <c r="CT287" s="36"/>
      <c r="CU287" s="36"/>
      <c r="CV287" s="36"/>
      <c r="CW287" s="36"/>
      <c r="CX287" s="36"/>
      <c r="CY287" s="36"/>
      <c r="CZ287" s="36"/>
      <c r="DA287" s="36"/>
      <c r="DB287" s="36"/>
      <c r="DC287" s="36"/>
      <c r="DD287" s="36"/>
      <c r="DE287" s="36"/>
      <c r="DF287" s="36"/>
      <c r="DG287" s="36"/>
      <c r="DH287" s="36"/>
      <c r="DI287" s="36"/>
      <c r="DJ287" s="36"/>
      <c r="DK287" s="36"/>
      <c r="DL287" s="36"/>
      <c r="DM287" s="36"/>
      <c r="DN287" s="36"/>
      <c r="DO287" s="36"/>
      <c r="DP287" s="36"/>
      <c r="DQ287" s="36"/>
      <c r="DR287" s="36"/>
      <c r="DS287" s="36"/>
      <c r="DT287" s="36"/>
      <c r="DU287" s="36"/>
      <c r="DV287" s="36"/>
      <c r="DW287" s="36"/>
      <c r="DX287" s="36"/>
      <c r="DY287" s="36"/>
    </row>
    <row r="288" spans="84:129" ht="9" customHeight="1" x14ac:dyDescent="0.2">
      <c r="CF288" s="36"/>
      <c r="CG288" s="36"/>
      <c r="CH288" s="36"/>
      <c r="CI288" s="36"/>
      <c r="CJ288" s="36"/>
      <c r="CK288" s="36"/>
      <c r="CL288" s="36"/>
      <c r="CM288" s="37"/>
      <c r="CN288" s="36"/>
      <c r="CO288" s="36"/>
      <c r="CP288" s="36"/>
      <c r="CQ288" s="36"/>
      <c r="CR288" s="36"/>
      <c r="CS288" s="36"/>
      <c r="CT288" s="36"/>
      <c r="CU288" s="36"/>
      <c r="CV288" s="36"/>
      <c r="CW288" s="36"/>
      <c r="CX288" s="36"/>
      <c r="CY288" s="36"/>
      <c r="CZ288" s="36"/>
      <c r="DA288" s="36"/>
      <c r="DB288" s="36"/>
      <c r="DC288" s="36"/>
      <c r="DD288" s="36"/>
      <c r="DE288" s="36"/>
      <c r="DF288" s="36"/>
      <c r="DG288" s="36"/>
      <c r="DH288" s="36"/>
      <c r="DI288" s="36"/>
      <c r="DJ288" s="36"/>
      <c r="DK288" s="36"/>
      <c r="DL288" s="36"/>
      <c r="DM288" s="36"/>
      <c r="DN288" s="36"/>
      <c r="DO288" s="36"/>
      <c r="DP288" s="36"/>
      <c r="DQ288" s="36"/>
      <c r="DR288" s="36"/>
      <c r="DS288" s="36"/>
      <c r="DT288" s="36"/>
      <c r="DU288" s="36"/>
      <c r="DV288" s="36"/>
      <c r="DW288" s="36"/>
      <c r="DX288" s="36"/>
      <c r="DY288" s="36"/>
    </row>
    <row r="289" spans="84:129" ht="9" customHeight="1" x14ac:dyDescent="0.2">
      <c r="CF289" s="36"/>
      <c r="CG289" s="36"/>
      <c r="CH289" s="36"/>
      <c r="CI289" s="36"/>
      <c r="CJ289" s="36"/>
      <c r="CK289" s="36"/>
      <c r="CL289" s="36"/>
      <c r="CM289" s="37"/>
      <c r="CN289" s="36"/>
      <c r="CO289" s="36"/>
      <c r="CP289" s="36"/>
      <c r="CQ289" s="36"/>
      <c r="CR289" s="36"/>
      <c r="CS289" s="36"/>
      <c r="CT289" s="36"/>
      <c r="CU289" s="36"/>
      <c r="CV289" s="36"/>
      <c r="CW289" s="36"/>
      <c r="CX289" s="36"/>
      <c r="CY289" s="36"/>
      <c r="CZ289" s="36"/>
      <c r="DA289" s="36"/>
      <c r="DB289" s="36"/>
      <c r="DC289" s="36"/>
      <c r="DD289" s="36"/>
      <c r="DE289" s="36"/>
      <c r="DF289" s="36"/>
      <c r="DG289" s="36"/>
      <c r="DH289" s="36"/>
      <c r="DI289" s="36"/>
      <c r="DJ289" s="36"/>
      <c r="DK289" s="36"/>
      <c r="DL289" s="36"/>
      <c r="DM289" s="36"/>
      <c r="DN289" s="36"/>
      <c r="DO289" s="36"/>
      <c r="DP289" s="36"/>
      <c r="DQ289" s="36"/>
      <c r="DR289" s="36"/>
      <c r="DS289" s="36"/>
      <c r="DT289" s="36"/>
      <c r="DU289" s="36"/>
      <c r="DV289" s="36"/>
      <c r="DW289" s="36"/>
      <c r="DX289" s="36"/>
      <c r="DY289" s="36"/>
    </row>
    <row r="290" spans="84:129" ht="9" customHeight="1" x14ac:dyDescent="0.2">
      <c r="CF290" s="36"/>
      <c r="CG290" s="36"/>
      <c r="CH290" s="36"/>
      <c r="CI290" s="36"/>
      <c r="CJ290" s="36"/>
      <c r="CK290" s="36"/>
      <c r="CL290" s="36"/>
      <c r="CM290" s="37"/>
      <c r="CN290" s="36"/>
      <c r="CO290" s="36"/>
      <c r="CP290" s="36"/>
      <c r="CQ290" s="36"/>
      <c r="CR290" s="36"/>
      <c r="CS290" s="36"/>
      <c r="CT290" s="36"/>
      <c r="CU290" s="36"/>
      <c r="CV290" s="36"/>
      <c r="CW290" s="36"/>
      <c r="CX290" s="36"/>
      <c r="CY290" s="36"/>
      <c r="CZ290" s="36"/>
      <c r="DA290" s="36"/>
      <c r="DB290" s="36"/>
      <c r="DC290" s="36"/>
      <c r="DD290" s="36"/>
      <c r="DE290" s="36"/>
      <c r="DF290" s="36"/>
      <c r="DG290" s="36"/>
      <c r="DH290" s="36"/>
      <c r="DI290" s="36"/>
      <c r="DJ290" s="36"/>
      <c r="DK290" s="36"/>
      <c r="DL290" s="36"/>
      <c r="DM290" s="36"/>
      <c r="DN290" s="36"/>
      <c r="DO290" s="36"/>
      <c r="DP290" s="36"/>
      <c r="DQ290" s="36"/>
      <c r="DR290" s="36"/>
      <c r="DS290" s="36"/>
      <c r="DT290" s="36"/>
      <c r="DU290" s="36"/>
      <c r="DV290" s="36"/>
      <c r="DW290" s="36"/>
      <c r="DX290" s="36"/>
      <c r="DY290" s="36"/>
    </row>
    <row r="291" spans="84:129" ht="9" customHeight="1" x14ac:dyDescent="0.2">
      <c r="CF291" s="36"/>
      <c r="CG291" s="36"/>
      <c r="CH291" s="36"/>
      <c r="CI291" s="36"/>
      <c r="CJ291" s="36"/>
      <c r="CK291" s="36"/>
      <c r="CL291" s="36"/>
      <c r="CM291" s="37"/>
      <c r="CN291" s="36"/>
      <c r="CO291" s="36"/>
      <c r="CP291" s="36"/>
      <c r="CQ291" s="36"/>
      <c r="CR291" s="36"/>
      <c r="CS291" s="36"/>
      <c r="CT291" s="36"/>
      <c r="CU291" s="36"/>
      <c r="CV291" s="36"/>
      <c r="CW291" s="36"/>
      <c r="CX291" s="36"/>
      <c r="CY291" s="36"/>
      <c r="CZ291" s="36"/>
      <c r="DA291" s="36"/>
      <c r="DB291" s="36"/>
      <c r="DC291" s="36"/>
      <c r="DD291" s="36"/>
      <c r="DE291" s="36"/>
      <c r="DF291" s="36"/>
      <c r="DG291" s="36"/>
      <c r="DH291" s="36"/>
      <c r="DI291" s="36"/>
      <c r="DJ291" s="36"/>
      <c r="DK291" s="36"/>
      <c r="DL291" s="36"/>
      <c r="DM291" s="36"/>
      <c r="DN291" s="36"/>
      <c r="DO291" s="36"/>
      <c r="DP291" s="36"/>
      <c r="DQ291" s="36"/>
      <c r="DR291" s="36"/>
      <c r="DS291" s="36"/>
      <c r="DT291" s="36"/>
      <c r="DU291" s="36"/>
      <c r="DV291" s="36"/>
      <c r="DW291" s="36"/>
      <c r="DX291" s="36"/>
      <c r="DY291" s="36"/>
    </row>
    <row r="292" spans="84:129" ht="9" customHeight="1" x14ac:dyDescent="0.2">
      <c r="CF292" s="36"/>
      <c r="CG292" s="36"/>
      <c r="CH292" s="36"/>
      <c r="CI292" s="36"/>
      <c r="CJ292" s="36"/>
      <c r="CK292" s="36"/>
      <c r="CL292" s="36"/>
      <c r="CM292" s="37"/>
      <c r="CN292" s="36"/>
      <c r="CO292" s="36"/>
      <c r="CP292" s="36"/>
      <c r="CQ292" s="36"/>
      <c r="CR292" s="36"/>
      <c r="CS292" s="36"/>
      <c r="CT292" s="36"/>
      <c r="CU292" s="36"/>
      <c r="CV292" s="36"/>
      <c r="CW292" s="36"/>
      <c r="CX292" s="36"/>
      <c r="CY292" s="36"/>
      <c r="CZ292" s="36"/>
      <c r="DA292" s="36"/>
      <c r="DB292" s="36"/>
      <c r="DC292" s="36"/>
      <c r="DD292" s="36"/>
      <c r="DE292" s="36"/>
      <c r="DF292" s="36"/>
      <c r="DG292" s="36"/>
      <c r="DH292" s="36"/>
      <c r="DI292" s="36"/>
      <c r="DJ292" s="36"/>
      <c r="DK292" s="36"/>
      <c r="DL292" s="36"/>
      <c r="DM292" s="36"/>
      <c r="DN292" s="36"/>
      <c r="DO292" s="36"/>
      <c r="DP292" s="36"/>
      <c r="DQ292" s="36"/>
      <c r="DR292" s="36"/>
      <c r="DS292" s="36"/>
      <c r="DT292" s="36"/>
      <c r="DU292" s="36"/>
      <c r="DV292" s="36"/>
      <c r="DW292" s="36"/>
      <c r="DX292" s="36"/>
      <c r="DY292" s="36"/>
    </row>
    <row r="293" spans="84:129" ht="9" customHeight="1" x14ac:dyDescent="0.2">
      <c r="CF293" s="36"/>
      <c r="CG293" s="36"/>
      <c r="CH293" s="36"/>
      <c r="CI293" s="36"/>
      <c r="CJ293" s="36"/>
      <c r="CK293" s="36"/>
      <c r="CL293" s="36"/>
      <c r="CM293" s="37"/>
      <c r="CN293" s="36"/>
      <c r="CO293" s="36"/>
      <c r="CP293" s="36"/>
      <c r="CQ293" s="36"/>
      <c r="CR293" s="36"/>
      <c r="CS293" s="36"/>
      <c r="CT293" s="36"/>
      <c r="CU293" s="36"/>
      <c r="CV293" s="36"/>
      <c r="CW293" s="36"/>
      <c r="CX293" s="36"/>
      <c r="CY293" s="36"/>
      <c r="CZ293" s="36"/>
      <c r="DA293" s="36"/>
      <c r="DB293" s="36"/>
      <c r="DC293" s="36"/>
      <c r="DD293" s="36"/>
      <c r="DE293" s="36"/>
      <c r="DF293" s="36"/>
      <c r="DG293" s="36"/>
      <c r="DH293" s="36"/>
      <c r="DI293" s="36"/>
      <c r="DJ293" s="36"/>
      <c r="DK293" s="36"/>
      <c r="DL293" s="36"/>
      <c r="DM293" s="36"/>
      <c r="DN293" s="36"/>
      <c r="DO293" s="36"/>
      <c r="DP293" s="36"/>
      <c r="DQ293" s="36"/>
      <c r="DR293" s="36"/>
      <c r="DS293" s="36"/>
      <c r="DT293" s="36"/>
      <c r="DU293" s="36"/>
      <c r="DV293" s="36"/>
      <c r="DW293" s="36"/>
      <c r="DX293" s="36"/>
      <c r="DY293" s="36"/>
    </row>
    <row r="294" spans="84:129" ht="9" customHeight="1" x14ac:dyDescent="0.2">
      <c r="CF294" s="36"/>
      <c r="CG294" s="36"/>
      <c r="CH294" s="36"/>
      <c r="CI294" s="36"/>
      <c r="CJ294" s="36"/>
      <c r="CK294" s="36"/>
      <c r="CL294" s="36"/>
      <c r="CM294" s="37"/>
      <c r="CN294" s="36"/>
      <c r="CO294" s="36"/>
      <c r="CP294" s="36"/>
      <c r="CQ294" s="36"/>
      <c r="CR294" s="36"/>
      <c r="CS294" s="36"/>
      <c r="CT294" s="36"/>
      <c r="CU294" s="36"/>
      <c r="CV294" s="36"/>
      <c r="CW294" s="36"/>
      <c r="CX294" s="36"/>
      <c r="CY294" s="36"/>
      <c r="CZ294" s="36"/>
      <c r="DA294" s="36"/>
      <c r="DB294" s="36"/>
      <c r="DC294" s="36"/>
      <c r="DD294" s="36"/>
      <c r="DE294" s="36"/>
      <c r="DF294" s="36"/>
      <c r="DG294" s="36"/>
      <c r="DH294" s="36"/>
      <c r="DI294" s="36"/>
      <c r="DJ294" s="36"/>
      <c r="DK294" s="36"/>
      <c r="DL294" s="36"/>
      <c r="DM294" s="36"/>
      <c r="DN294" s="36"/>
      <c r="DO294" s="36"/>
      <c r="DP294" s="36"/>
      <c r="DQ294" s="36"/>
      <c r="DR294" s="36"/>
      <c r="DS294" s="36"/>
      <c r="DT294" s="36"/>
      <c r="DU294" s="36"/>
      <c r="DV294" s="36"/>
      <c r="DW294" s="36"/>
      <c r="DX294" s="36"/>
      <c r="DY294" s="36"/>
    </row>
    <row r="295" spans="84:129" ht="9" customHeight="1" x14ac:dyDescent="0.2">
      <c r="CF295" s="36"/>
      <c r="CG295" s="36"/>
      <c r="CH295" s="36"/>
      <c r="CI295" s="36"/>
      <c r="CJ295" s="36"/>
      <c r="CK295" s="36"/>
      <c r="CL295" s="36"/>
      <c r="CM295" s="37"/>
      <c r="CN295" s="36"/>
      <c r="CO295" s="36"/>
      <c r="CP295" s="36"/>
      <c r="CQ295" s="36"/>
      <c r="CR295" s="36"/>
      <c r="CS295" s="36"/>
      <c r="CT295" s="36"/>
      <c r="CU295" s="36"/>
      <c r="CV295" s="36"/>
      <c r="CW295" s="36"/>
      <c r="CX295" s="36"/>
      <c r="CY295" s="36"/>
      <c r="CZ295" s="36"/>
      <c r="DA295" s="36"/>
      <c r="DB295" s="36"/>
      <c r="DC295" s="36"/>
      <c r="DD295" s="36"/>
      <c r="DE295" s="36"/>
      <c r="DF295" s="36"/>
      <c r="DG295" s="36"/>
      <c r="DH295" s="36"/>
      <c r="DI295" s="36"/>
      <c r="DJ295" s="36"/>
      <c r="DK295" s="36"/>
      <c r="DL295" s="36"/>
      <c r="DM295" s="36"/>
      <c r="DN295" s="36"/>
      <c r="DO295" s="36"/>
      <c r="DP295" s="36"/>
      <c r="DQ295" s="36"/>
      <c r="DR295" s="36"/>
      <c r="DS295" s="36"/>
      <c r="DT295" s="36"/>
      <c r="DU295" s="36"/>
      <c r="DV295" s="36"/>
      <c r="DW295" s="36"/>
      <c r="DX295" s="36"/>
      <c r="DY295" s="36"/>
    </row>
    <row r="296" spans="84:129" ht="9" customHeight="1" x14ac:dyDescent="0.2">
      <c r="CF296" s="36"/>
      <c r="CG296" s="36"/>
      <c r="CH296" s="36"/>
      <c r="CI296" s="36"/>
      <c r="CJ296" s="36"/>
      <c r="CK296" s="36"/>
      <c r="CL296" s="36"/>
      <c r="CM296" s="37"/>
      <c r="CN296" s="36"/>
      <c r="CO296" s="36"/>
      <c r="CP296" s="36"/>
      <c r="CQ296" s="36"/>
      <c r="CR296" s="36"/>
      <c r="CS296" s="36"/>
      <c r="CT296" s="36"/>
      <c r="CU296" s="36"/>
      <c r="CV296" s="36"/>
      <c r="CW296" s="36"/>
      <c r="CX296" s="36"/>
      <c r="CY296" s="36"/>
      <c r="CZ296" s="36"/>
      <c r="DA296" s="36"/>
      <c r="DB296" s="36"/>
      <c r="DC296" s="36"/>
      <c r="DD296" s="36"/>
      <c r="DE296" s="36"/>
      <c r="DF296" s="36"/>
      <c r="DG296" s="36"/>
      <c r="DH296" s="36"/>
      <c r="DI296" s="36"/>
      <c r="DJ296" s="36"/>
      <c r="DK296" s="36"/>
      <c r="DL296" s="36"/>
      <c r="DM296" s="36"/>
      <c r="DN296" s="36"/>
      <c r="DO296" s="36"/>
      <c r="DP296" s="36"/>
      <c r="DQ296" s="36"/>
      <c r="DR296" s="36"/>
      <c r="DS296" s="36"/>
      <c r="DT296" s="36"/>
      <c r="DU296" s="36"/>
      <c r="DV296" s="36"/>
      <c r="DW296" s="36"/>
      <c r="DX296" s="36"/>
      <c r="DY296" s="36"/>
    </row>
    <row r="297" spans="84:129" ht="9" customHeight="1" x14ac:dyDescent="0.2">
      <c r="CF297" s="36"/>
      <c r="CG297" s="36"/>
      <c r="CH297" s="36"/>
      <c r="CI297" s="36"/>
      <c r="CJ297" s="36"/>
      <c r="CK297" s="36"/>
      <c r="CL297" s="36"/>
      <c r="CM297" s="37"/>
      <c r="CN297" s="36"/>
      <c r="CO297" s="36"/>
      <c r="CP297" s="36"/>
      <c r="CQ297" s="36"/>
      <c r="CR297" s="36"/>
      <c r="CS297" s="36"/>
      <c r="CT297" s="36"/>
      <c r="CU297" s="36"/>
      <c r="CV297" s="36"/>
      <c r="CW297" s="36"/>
      <c r="CX297" s="36"/>
      <c r="CY297" s="36"/>
      <c r="CZ297" s="36"/>
      <c r="DA297" s="36"/>
      <c r="DB297" s="36"/>
      <c r="DC297" s="36"/>
      <c r="DD297" s="36"/>
      <c r="DE297" s="36"/>
      <c r="DF297" s="36"/>
      <c r="DG297" s="36"/>
      <c r="DH297" s="36"/>
      <c r="DI297" s="36"/>
      <c r="DJ297" s="36"/>
      <c r="DK297" s="36"/>
      <c r="DL297" s="36"/>
      <c r="DM297" s="36"/>
      <c r="DN297" s="36"/>
      <c r="DO297" s="36"/>
      <c r="DP297" s="36"/>
      <c r="DQ297" s="36"/>
      <c r="DR297" s="36"/>
      <c r="DS297" s="36"/>
      <c r="DT297" s="36"/>
      <c r="DU297" s="36"/>
      <c r="DV297" s="36"/>
      <c r="DW297" s="36"/>
      <c r="DX297" s="36"/>
      <c r="DY297" s="36"/>
    </row>
    <row r="298" spans="84:129" ht="9" customHeight="1" x14ac:dyDescent="0.2">
      <c r="CF298" s="36"/>
      <c r="CG298" s="36"/>
      <c r="CH298" s="36"/>
      <c r="CI298" s="36"/>
      <c r="CJ298" s="36"/>
      <c r="CK298" s="36"/>
      <c r="CL298" s="36"/>
      <c r="CM298" s="37"/>
      <c r="CN298" s="36"/>
      <c r="CO298" s="36"/>
      <c r="CP298" s="36"/>
      <c r="CQ298" s="36"/>
      <c r="CR298" s="36"/>
      <c r="CS298" s="36"/>
      <c r="CT298" s="36"/>
      <c r="CU298" s="36"/>
      <c r="CV298" s="36"/>
      <c r="CW298" s="36"/>
      <c r="CX298" s="36"/>
      <c r="CY298" s="36"/>
      <c r="CZ298" s="36"/>
      <c r="DA298" s="36"/>
      <c r="DB298" s="36"/>
      <c r="DC298" s="36"/>
      <c r="DD298" s="36"/>
      <c r="DE298" s="36"/>
      <c r="DF298" s="36"/>
      <c r="DG298" s="36"/>
      <c r="DH298" s="36"/>
      <c r="DI298" s="36"/>
      <c r="DJ298" s="36"/>
      <c r="DK298" s="36"/>
      <c r="DL298" s="36"/>
      <c r="DM298" s="36"/>
      <c r="DN298" s="36"/>
      <c r="DO298" s="36"/>
      <c r="DP298" s="36"/>
      <c r="DQ298" s="36"/>
      <c r="DR298" s="36"/>
      <c r="DS298" s="36"/>
      <c r="DT298" s="36"/>
      <c r="DU298" s="36"/>
      <c r="DV298" s="36"/>
      <c r="DW298" s="36"/>
      <c r="DX298" s="36"/>
      <c r="DY298" s="36"/>
    </row>
    <row r="299" spans="84:129" ht="9" customHeight="1" x14ac:dyDescent="0.2">
      <c r="CF299" s="36"/>
      <c r="CG299" s="36"/>
      <c r="CH299" s="36"/>
      <c r="CI299" s="36"/>
      <c r="CJ299" s="36"/>
      <c r="CK299" s="36"/>
      <c r="CL299" s="36"/>
      <c r="CM299" s="37"/>
      <c r="CN299" s="36"/>
      <c r="CO299" s="36"/>
      <c r="CP299" s="36"/>
      <c r="CQ299" s="36"/>
      <c r="CR299" s="36"/>
      <c r="CS299" s="36"/>
      <c r="CT299" s="36"/>
      <c r="CU299" s="36"/>
      <c r="CV299" s="36"/>
      <c r="CW299" s="36"/>
      <c r="CX299" s="36"/>
      <c r="CY299" s="36"/>
      <c r="CZ299" s="36"/>
      <c r="DA299" s="36"/>
      <c r="DB299" s="36"/>
      <c r="DC299" s="36"/>
      <c r="DD299" s="36"/>
      <c r="DE299" s="36"/>
      <c r="DF299" s="36"/>
      <c r="DG299" s="36"/>
      <c r="DH299" s="36"/>
      <c r="DI299" s="36"/>
      <c r="DJ299" s="36"/>
      <c r="DK299" s="36"/>
      <c r="DL299" s="36"/>
      <c r="DM299" s="36"/>
      <c r="DN299" s="36"/>
      <c r="DO299" s="36"/>
      <c r="DP299" s="36"/>
      <c r="DQ299" s="36"/>
      <c r="DR299" s="36"/>
      <c r="DS299" s="36"/>
      <c r="DT299" s="36"/>
      <c r="DU299" s="36"/>
      <c r="DV299" s="36"/>
      <c r="DW299" s="36"/>
      <c r="DX299" s="36"/>
      <c r="DY299" s="36"/>
    </row>
    <row r="300" spans="84:129" ht="9" customHeight="1" x14ac:dyDescent="0.2">
      <c r="CF300" s="36"/>
      <c r="CG300" s="36"/>
      <c r="CH300" s="36"/>
      <c r="CI300" s="36"/>
      <c r="CJ300" s="36"/>
      <c r="CK300" s="36"/>
      <c r="CL300" s="36"/>
      <c r="CM300" s="37"/>
      <c r="CN300" s="36"/>
      <c r="CO300" s="36"/>
      <c r="CP300" s="36"/>
      <c r="CQ300" s="36"/>
      <c r="CR300" s="36"/>
      <c r="CS300" s="36"/>
      <c r="CT300" s="36"/>
      <c r="CU300" s="36"/>
      <c r="CV300" s="36"/>
      <c r="CW300" s="36"/>
      <c r="CX300" s="36"/>
      <c r="CY300" s="36"/>
      <c r="CZ300" s="36"/>
      <c r="DA300" s="36"/>
      <c r="DB300" s="36"/>
      <c r="DC300" s="36"/>
      <c r="DD300" s="36"/>
      <c r="DE300" s="36"/>
      <c r="DF300" s="36"/>
      <c r="DG300" s="36"/>
      <c r="DH300" s="36"/>
      <c r="DI300" s="36"/>
      <c r="DJ300" s="36"/>
      <c r="DK300" s="36"/>
      <c r="DL300" s="36"/>
      <c r="DM300" s="36"/>
      <c r="DN300" s="36"/>
      <c r="DO300" s="36"/>
      <c r="DP300" s="36"/>
      <c r="DQ300" s="36"/>
      <c r="DR300" s="36"/>
      <c r="DS300" s="36"/>
      <c r="DT300" s="36"/>
      <c r="DU300" s="36"/>
      <c r="DV300" s="36"/>
      <c r="DW300" s="36"/>
      <c r="DX300" s="36"/>
      <c r="DY300" s="36"/>
    </row>
    <row r="301" spans="84:129" ht="9" customHeight="1" x14ac:dyDescent="0.2">
      <c r="CF301" s="36"/>
      <c r="CG301" s="36"/>
      <c r="CH301" s="36"/>
      <c r="CI301" s="36"/>
      <c r="CJ301" s="36"/>
      <c r="CK301" s="36"/>
      <c r="CL301" s="36"/>
      <c r="CM301" s="37"/>
      <c r="CN301" s="36"/>
      <c r="CO301" s="36"/>
      <c r="CP301" s="36"/>
      <c r="CQ301" s="36"/>
      <c r="CR301" s="36"/>
      <c r="CS301" s="36"/>
      <c r="CT301" s="36"/>
      <c r="CU301" s="36"/>
      <c r="CV301" s="36"/>
      <c r="CW301" s="36"/>
      <c r="CX301" s="36"/>
      <c r="CY301" s="36"/>
      <c r="CZ301" s="36"/>
      <c r="DA301" s="36"/>
      <c r="DB301" s="36"/>
      <c r="DC301" s="36"/>
      <c r="DD301" s="36"/>
      <c r="DE301" s="36"/>
      <c r="DF301" s="36"/>
      <c r="DG301" s="36"/>
      <c r="DH301" s="36"/>
      <c r="DI301" s="36"/>
      <c r="DJ301" s="36"/>
      <c r="DK301" s="36"/>
      <c r="DL301" s="36"/>
      <c r="DM301" s="36"/>
      <c r="DN301" s="36"/>
      <c r="DO301" s="36"/>
      <c r="DP301" s="36"/>
      <c r="DQ301" s="36"/>
      <c r="DR301" s="36"/>
      <c r="DS301" s="36"/>
      <c r="DT301" s="36"/>
      <c r="DU301" s="36"/>
      <c r="DV301" s="36"/>
      <c r="DW301" s="36"/>
      <c r="DX301" s="36"/>
      <c r="DY301" s="36"/>
    </row>
    <row r="302" spans="84:129" ht="9" customHeight="1" x14ac:dyDescent="0.2">
      <c r="CF302" s="36"/>
      <c r="CG302" s="36"/>
      <c r="CH302" s="36"/>
      <c r="CI302" s="36"/>
      <c r="CJ302" s="36"/>
      <c r="CK302" s="36"/>
      <c r="CL302" s="36"/>
      <c r="CM302" s="37"/>
      <c r="CN302" s="36"/>
      <c r="CO302" s="36"/>
      <c r="CP302" s="36"/>
      <c r="CQ302" s="36"/>
      <c r="CR302" s="36"/>
      <c r="CS302" s="36"/>
      <c r="CT302" s="36"/>
      <c r="CU302" s="36"/>
      <c r="CV302" s="36"/>
      <c r="CW302" s="36"/>
      <c r="CX302" s="36"/>
      <c r="CY302" s="36"/>
      <c r="CZ302" s="36"/>
      <c r="DA302" s="36"/>
      <c r="DB302" s="36"/>
      <c r="DC302" s="36"/>
      <c r="DD302" s="36"/>
      <c r="DE302" s="36"/>
      <c r="DF302" s="36"/>
      <c r="DG302" s="36"/>
      <c r="DH302" s="36"/>
      <c r="DI302" s="36"/>
      <c r="DJ302" s="36"/>
      <c r="DK302" s="36"/>
      <c r="DL302" s="36"/>
      <c r="DM302" s="36"/>
      <c r="DN302" s="36"/>
      <c r="DO302" s="36"/>
      <c r="DP302" s="36"/>
      <c r="DQ302" s="36"/>
      <c r="DR302" s="36"/>
      <c r="DS302" s="36"/>
      <c r="DT302" s="36"/>
      <c r="DU302" s="36"/>
      <c r="DV302" s="36"/>
      <c r="DW302" s="36"/>
      <c r="DX302" s="36"/>
      <c r="DY302" s="36"/>
    </row>
    <row r="303" spans="84:129" ht="9" customHeight="1" x14ac:dyDescent="0.2">
      <c r="CF303" s="36"/>
      <c r="CG303" s="36"/>
      <c r="CH303" s="36"/>
      <c r="CI303" s="36"/>
      <c r="CJ303" s="36"/>
      <c r="CK303" s="36"/>
      <c r="CL303" s="36"/>
      <c r="CM303" s="37"/>
      <c r="CN303" s="36"/>
      <c r="CO303" s="36"/>
      <c r="CP303" s="36"/>
      <c r="CQ303" s="36"/>
      <c r="CR303" s="36"/>
      <c r="CS303" s="36"/>
      <c r="CT303" s="36"/>
      <c r="CU303" s="36"/>
      <c r="CV303" s="36"/>
      <c r="CW303" s="36"/>
      <c r="CX303" s="36"/>
      <c r="CY303" s="36"/>
      <c r="CZ303" s="36"/>
      <c r="DA303" s="36"/>
      <c r="DB303" s="36"/>
      <c r="DC303" s="36"/>
      <c r="DD303" s="36"/>
      <c r="DE303" s="36"/>
      <c r="DF303" s="36"/>
      <c r="DG303" s="36"/>
      <c r="DH303" s="36"/>
      <c r="DI303" s="36"/>
      <c r="DJ303" s="36"/>
      <c r="DK303" s="36"/>
      <c r="DL303" s="36"/>
      <c r="DM303" s="36"/>
      <c r="DN303" s="36"/>
      <c r="DO303" s="36"/>
      <c r="DP303" s="36"/>
      <c r="DQ303" s="36"/>
      <c r="DR303" s="36"/>
      <c r="DS303" s="36"/>
      <c r="DT303" s="36"/>
      <c r="DU303" s="36"/>
      <c r="DV303" s="36"/>
      <c r="DW303" s="36"/>
      <c r="DX303" s="36"/>
      <c r="DY303" s="36"/>
    </row>
    <row r="304" spans="84:129" ht="9" customHeight="1" x14ac:dyDescent="0.2">
      <c r="CF304" s="36"/>
      <c r="CG304" s="36"/>
      <c r="CH304" s="36"/>
      <c r="CI304" s="36"/>
      <c r="CJ304" s="36"/>
      <c r="CK304" s="36"/>
      <c r="CL304" s="36"/>
      <c r="CM304" s="37"/>
      <c r="CN304" s="36"/>
      <c r="CO304" s="36"/>
      <c r="CP304" s="36"/>
      <c r="CQ304" s="36"/>
      <c r="CR304" s="36"/>
      <c r="CS304" s="36"/>
      <c r="CT304" s="36"/>
      <c r="CU304" s="36"/>
      <c r="CV304" s="36"/>
      <c r="CW304" s="36"/>
      <c r="CX304" s="36"/>
      <c r="CY304" s="36"/>
      <c r="CZ304" s="36"/>
      <c r="DA304" s="36"/>
      <c r="DB304" s="36"/>
      <c r="DC304" s="36"/>
      <c r="DD304" s="36"/>
      <c r="DE304" s="36"/>
      <c r="DF304" s="36"/>
      <c r="DG304" s="36"/>
      <c r="DH304" s="36"/>
      <c r="DI304" s="36"/>
      <c r="DJ304" s="36"/>
      <c r="DK304" s="36"/>
      <c r="DL304" s="36"/>
      <c r="DM304" s="36"/>
      <c r="DN304" s="36"/>
      <c r="DO304" s="36"/>
      <c r="DP304" s="36"/>
      <c r="DQ304" s="36"/>
      <c r="DR304" s="36"/>
      <c r="DS304" s="36"/>
      <c r="DT304" s="36"/>
      <c r="DU304" s="36"/>
      <c r="DV304" s="36"/>
      <c r="DW304" s="36"/>
      <c r="DX304" s="36"/>
      <c r="DY304" s="36"/>
    </row>
    <row r="305" spans="84:129" ht="9" customHeight="1" x14ac:dyDescent="0.2">
      <c r="CF305" s="36"/>
      <c r="CG305" s="36"/>
      <c r="CH305" s="36"/>
      <c r="CI305" s="36"/>
      <c r="CJ305" s="36"/>
      <c r="CK305" s="36"/>
      <c r="CL305" s="36"/>
      <c r="CM305" s="37"/>
      <c r="CN305" s="36"/>
      <c r="CO305" s="36"/>
      <c r="CP305" s="36"/>
      <c r="CQ305" s="36"/>
      <c r="CR305" s="36"/>
      <c r="CS305" s="36"/>
      <c r="CT305" s="36"/>
      <c r="CU305" s="36"/>
      <c r="CV305" s="36"/>
      <c r="CW305" s="36"/>
      <c r="CX305" s="36"/>
      <c r="CY305" s="36"/>
      <c r="CZ305" s="36"/>
      <c r="DA305" s="36"/>
      <c r="DB305" s="36"/>
      <c r="DC305" s="36"/>
      <c r="DD305" s="36"/>
      <c r="DE305" s="36"/>
      <c r="DF305" s="36"/>
      <c r="DG305" s="36"/>
      <c r="DH305" s="36"/>
      <c r="DI305" s="36"/>
      <c r="DJ305" s="36"/>
      <c r="DK305" s="36"/>
      <c r="DL305" s="36"/>
      <c r="DM305" s="36"/>
      <c r="DN305" s="36"/>
      <c r="DO305" s="36"/>
      <c r="DP305" s="36"/>
      <c r="DQ305" s="36"/>
      <c r="DR305" s="36"/>
      <c r="DS305" s="36"/>
      <c r="DT305" s="36"/>
      <c r="DU305" s="36"/>
      <c r="DV305" s="36"/>
      <c r="DW305" s="36"/>
      <c r="DX305" s="36"/>
      <c r="DY305" s="36"/>
    </row>
    <row r="306" spans="84:129" ht="9" customHeight="1" x14ac:dyDescent="0.2">
      <c r="CF306" s="36"/>
      <c r="CG306" s="36"/>
      <c r="CH306" s="36"/>
      <c r="CI306" s="36"/>
      <c r="CJ306" s="36"/>
      <c r="CK306" s="36"/>
      <c r="CL306" s="36"/>
      <c r="CM306" s="37"/>
      <c r="CN306" s="36"/>
      <c r="CO306" s="36"/>
      <c r="CP306" s="36"/>
      <c r="CQ306" s="36"/>
      <c r="CR306" s="36"/>
      <c r="CS306" s="36"/>
      <c r="CT306" s="36"/>
      <c r="CU306" s="36"/>
      <c r="CV306" s="36"/>
      <c r="CW306" s="36"/>
      <c r="CX306" s="36"/>
      <c r="CY306" s="36"/>
      <c r="CZ306" s="36"/>
      <c r="DA306" s="36"/>
      <c r="DB306" s="36"/>
      <c r="DC306" s="36"/>
      <c r="DD306" s="36"/>
      <c r="DE306" s="36"/>
      <c r="DF306" s="36"/>
      <c r="DG306" s="36"/>
      <c r="DH306" s="36"/>
      <c r="DI306" s="36"/>
      <c r="DJ306" s="36"/>
      <c r="DK306" s="36"/>
      <c r="DL306" s="36"/>
      <c r="DM306" s="36"/>
      <c r="DN306" s="36"/>
      <c r="DO306" s="36"/>
      <c r="DP306" s="36"/>
      <c r="DQ306" s="36"/>
      <c r="DR306" s="36"/>
      <c r="DS306" s="36"/>
      <c r="DT306" s="36"/>
      <c r="DU306" s="36"/>
      <c r="DV306" s="36"/>
      <c r="DW306" s="36"/>
      <c r="DX306" s="36"/>
      <c r="DY306" s="36"/>
    </row>
    <row r="307" spans="84:129" ht="9" customHeight="1" x14ac:dyDescent="0.2">
      <c r="CF307" s="36"/>
      <c r="CG307" s="36"/>
      <c r="CH307" s="36"/>
      <c r="CI307" s="36"/>
      <c r="CJ307" s="36"/>
      <c r="CK307" s="36"/>
      <c r="CL307" s="36"/>
      <c r="CM307" s="37"/>
      <c r="CN307" s="36"/>
      <c r="CO307" s="36"/>
      <c r="CP307" s="36"/>
      <c r="CQ307" s="36"/>
      <c r="CR307" s="36"/>
      <c r="CS307" s="36"/>
      <c r="CT307" s="36"/>
      <c r="CU307" s="36"/>
      <c r="CV307" s="36"/>
      <c r="CW307" s="36"/>
      <c r="CX307" s="36"/>
      <c r="CY307" s="36"/>
      <c r="CZ307" s="36"/>
      <c r="DA307" s="36"/>
      <c r="DB307" s="36"/>
      <c r="DC307" s="36"/>
      <c r="DD307" s="36"/>
      <c r="DE307" s="36"/>
      <c r="DF307" s="36"/>
      <c r="DG307" s="36"/>
      <c r="DH307" s="36"/>
      <c r="DI307" s="36"/>
      <c r="DJ307" s="36"/>
      <c r="DK307" s="36"/>
      <c r="DL307" s="36"/>
      <c r="DM307" s="36"/>
      <c r="DN307" s="36"/>
      <c r="DO307" s="36"/>
      <c r="DP307" s="36"/>
      <c r="DQ307" s="36"/>
      <c r="DR307" s="36"/>
      <c r="DS307" s="36"/>
      <c r="DT307" s="36"/>
      <c r="DU307" s="36"/>
      <c r="DV307" s="36"/>
      <c r="DW307" s="36"/>
      <c r="DX307" s="36"/>
      <c r="DY307" s="36"/>
    </row>
    <row r="308" spans="84:129" ht="9" customHeight="1" x14ac:dyDescent="0.2">
      <c r="CF308" s="36"/>
      <c r="CG308" s="36"/>
      <c r="CH308" s="36"/>
      <c r="CI308" s="36"/>
      <c r="CJ308" s="36"/>
      <c r="CK308" s="36"/>
      <c r="CL308" s="36"/>
      <c r="CM308" s="37"/>
      <c r="CN308" s="36"/>
      <c r="CO308" s="36"/>
      <c r="CP308" s="36"/>
      <c r="CQ308" s="36"/>
      <c r="CR308" s="36"/>
      <c r="CS308" s="36"/>
      <c r="CT308" s="36"/>
      <c r="CU308" s="36"/>
      <c r="CV308" s="36"/>
      <c r="CW308" s="36"/>
      <c r="CX308" s="36"/>
      <c r="CY308" s="36"/>
      <c r="CZ308" s="36"/>
      <c r="DA308" s="36"/>
      <c r="DB308" s="36"/>
      <c r="DC308" s="36"/>
      <c r="DD308" s="36"/>
      <c r="DE308" s="36"/>
      <c r="DF308" s="36"/>
      <c r="DG308" s="36"/>
      <c r="DH308" s="36"/>
      <c r="DI308" s="36"/>
      <c r="DJ308" s="36"/>
      <c r="DK308" s="36"/>
      <c r="DL308" s="36"/>
      <c r="DM308" s="36"/>
      <c r="DN308" s="36"/>
      <c r="DO308" s="36"/>
      <c r="DP308" s="36"/>
      <c r="DQ308" s="36"/>
      <c r="DR308" s="36"/>
      <c r="DS308" s="36"/>
      <c r="DT308" s="36"/>
      <c r="DU308" s="36"/>
      <c r="DV308" s="36"/>
      <c r="DW308" s="36"/>
      <c r="DX308" s="36"/>
      <c r="DY308" s="36"/>
    </row>
    <row r="309" spans="84:129" ht="9" customHeight="1" x14ac:dyDescent="0.2">
      <c r="CF309" s="36"/>
      <c r="CG309" s="36"/>
      <c r="CH309" s="36"/>
      <c r="CI309" s="36"/>
      <c r="CJ309" s="36"/>
      <c r="CK309" s="36"/>
      <c r="CL309" s="36"/>
      <c r="CM309" s="37"/>
      <c r="CN309" s="36"/>
      <c r="CO309" s="36"/>
      <c r="CP309" s="36"/>
      <c r="CQ309" s="36"/>
      <c r="CR309" s="36"/>
      <c r="CS309" s="36"/>
      <c r="CT309" s="36"/>
      <c r="CU309" s="36"/>
      <c r="CV309" s="36"/>
      <c r="CW309" s="36"/>
      <c r="CX309" s="36"/>
      <c r="CY309" s="36"/>
      <c r="CZ309" s="36"/>
      <c r="DA309" s="36"/>
      <c r="DB309" s="36"/>
      <c r="DC309" s="36"/>
      <c r="DD309" s="36"/>
      <c r="DE309" s="36"/>
      <c r="DF309" s="36"/>
      <c r="DG309" s="36"/>
      <c r="DH309" s="36"/>
      <c r="DI309" s="36"/>
      <c r="DJ309" s="36"/>
      <c r="DK309" s="36"/>
      <c r="DL309" s="36"/>
      <c r="DM309" s="36"/>
      <c r="DN309" s="36"/>
      <c r="DO309" s="36"/>
      <c r="DP309" s="36"/>
      <c r="DQ309" s="36"/>
      <c r="DR309" s="36"/>
      <c r="DS309" s="36"/>
      <c r="DT309" s="36"/>
      <c r="DU309" s="36"/>
      <c r="DV309" s="36"/>
      <c r="DW309" s="36"/>
      <c r="DX309" s="36"/>
      <c r="DY309" s="36"/>
    </row>
    <row r="310" spans="84:129" ht="9" customHeight="1" x14ac:dyDescent="0.2">
      <c r="CF310" s="36"/>
      <c r="CG310" s="36"/>
      <c r="CH310" s="36"/>
      <c r="CI310" s="36"/>
      <c r="CJ310" s="36"/>
      <c r="CK310" s="36"/>
      <c r="CL310" s="36"/>
      <c r="CM310" s="37"/>
      <c r="CN310" s="36"/>
      <c r="CO310" s="36"/>
      <c r="CP310" s="36"/>
      <c r="CQ310" s="36"/>
      <c r="CR310" s="36"/>
      <c r="CS310" s="36"/>
      <c r="CT310" s="36"/>
      <c r="CU310" s="36"/>
      <c r="CV310" s="36"/>
      <c r="CW310" s="36"/>
      <c r="CX310" s="36"/>
      <c r="CY310" s="36"/>
      <c r="CZ310" s="36"/>
      <c r="DA310" s="36"/>
      <c r="DB310" s="36"/>
      <c r="DC310" s="36"/>
      <c r="DD310" s="36"/>
      <c r="DE310" s="36"/>
      <c r="DF310" s="36"/>
      <c r="DG310" s="36"/>
      <c r="DH310" s="36"/>
      <c r="DI310" s="36"/>
      <c r="DJ310" s="36"/>
      <c r="DK310" s="36"/>
      <c r="DL310" s="36"/>
      <c r="DM310" s="36"/>
      <c r="DN310" s="36"/>
      <c r="DO310" s="36"/>
      <c r="DP310" s="36"/>
      <c r="DQ310" s="36"/>
      <c r="DR310" s="36"/>
      <c r="DS310" s="36"/>
      <c r="DT310" s="36"/>
      <c r="DU310" s="36"/>
      <c r="DV310" s="36"/>
      <c r="DW310" s="36"/>
      <c r="DX310" s="36"/>
      <c r="DY310" s="36"/>
    </row>
    <row r="311" spans="84:129" ht="9" customHeight="1" x14ac:dyDescent="0.2">
      <c r="CF311" s="36"/>
      <c r="CG311" s="36"/>
      <c r="CH311" s="36"/>
      <c r="CI311" s="36"/>
      <c r="CJ311" s="36"/>
      <c r="CK311" s="36"/>
      <c r="CL311" s="36"/>
      <c r="CM311" s="37"/>
      <c r="CN311" s="36"/>
      <c r="CO311" s="36"/>
      <c r="CP311" s="36"/>
      <c r="CQ311" s="36"/>
      <c r="CR311" s="36"/>
      <c r="CS311" s="36"/>
      <c r="CT311" s="36"/>
      <c r="CU311" s="36"/>
      <c r="CV311" s="36"/>
      <c r="CW311" s="36"/>
      <c r="CX311" s="36"/>
      <c r="CY311" s="36"/>
      <c r="CZ311" s="36"/>
      <c r="DA311" s="36"/>
      <c r="DB311" s="36"/>
      <c r="DC311" s="36"/>
      <c r="DD311" s="36"/>
      <c r="DE311" s="36"/>
      <c r="DF311" s="36"/>
      <c r="DG311" s="36"/>
      <c r="DH311" s="36"/>
      <c r="DI311" s="36"/>
      <c r="DJ311" s="36"/>
      <c r="DK311" s="36"/>
      <c r="DL311" s="36"/>
      <c r="DM311" s="36"/>
      <c r="DN311" s="36"/>
      <c r="DO311" s="36"/>
      <c r="DP311" s="36"/>
      <c r="DQ311" s="36"/>
      <c r="DR311" s="36"/>
      <c r="DS311" s="36"/>
      <c r="DT311" s="36"/>
      <c r="DU311" s="36"/>
      <c r="DV311" s="36"/>
      <c r="DW311" s="36"/>
      <c r="DX311" s="36"/>
      <c r="DY311" s="36"/>
    </row>
    <row r="312" spans="84:129" ht="9" customHeight="1" x14ac:dyDescent="0.2">
      <c r="CF312" s="36"/>
      <c r="CG312" s="36"/>
      <c r="CH312" s="36"/>
      <c r="CI312" s="36"/>
      <c r="CJ312" s="36"/>
      <c r="CK312" s="36"/>
      <c r="CL312" s="36"/>
      <c r="CM312" s="37"/>
      <c r="CN312" s="36"/>
      <c r="CO312" s="36"/>
      <c r="CP312" s="36"/>
      <c r="CQ312" s="36"/>
      <c r="CR312" s="36"/>
      <c r="CS312" s="36"/>
      <c r="CT312" s="36"/>
      <c r="CU312" s="36"/>
      <c r="CV312" s="36"/>
      <c r="CW312" s="36"/>
      <c r="CX312" s="36"/>
      <c r="CY312" s="36"/>
      <c r="CZ312" s="36"/>
      <c r="DA312" s="36"/>
      <c r="DB312" s="36"/>
      <c r="DC312" s="36"/>
      <c r="DD312" s="36"/>
      <c r="DE312" s="36"/>
      <c r="DF312" s="36"/>
      <c r="DG312" s="36"/>
      <c r="DH312" s="36"/>
      <c r="DI312" s="36"/>
      <c r="DJ312" s="36"/>
      <c r="DK312" s="36"/>
      <c r="DL312" s="36"/>
      <c r="DM312" s="36"/>
      <c r="DN312" s="36"/>
      <c r="DO312" s="36"/>
      <c r="DP312" s="36"/>
      <c r="DQ312" s="36"/>
      <c r="DR312" s="36"/>
      <c r="DS312" s="36"/>
      <c r="DT312" s="36"/>
      <c r="DU312" s="36"/>
      <c r="DV312" s="36"/>
      <c r="DW312" s="36"/>
      <c r="DX312" s="36"/>
      <c r="DY312" s="36"/>
    </row>
    <row r="313" spans="84:129" ht="9" customHeight="1" x14ac:dyDescent="0.2">
      <c r="CF313" s="36"/>
      <c r="CG313" s="36"/>
      <c r="CH313" s="36"/>
      <c r="CI313" s="36"/>
      <c r="CJ313" s="36"/>
      <c r="CK313" s="36"/>
      <c r="CL313" s="36"/>
      <c r="CM313" s="37"/>
      <c r="CN313" s="36"/>
      <c r="CO313" s="36"/>
      <c r="CP313" s="36"/>
      <c r="CQ313" s="36"/>
      <c r="CR313" s="36"/>
      <c r="CS313" s="36"/>
      <c r="CT313" s="36"/>
      <c r="CU313" s="36"/>
      <c r="CV313" s="36"/>
      <c r="CW313" s="36"/>
      <c r="CX313" s="36"/>
      <c r="CY313" s="36"/>
      <c r="CZ313" s="36"/>
      <c r="DA313" s="36"/>
      <c r="DB313" s="36"/>
      <c r="DC313" s="36"/>
      <c r="DD313" s="36"/>
      <c r="DE313" s="36"/>
      <c r="DF313" s="36"/>
      <c r="DG313" s="36"/>
      <c r="DH313" s="36"/>
      <c r="DI313" s="36"/>
      <c r="DJ313" s="36"/>
      <c r="DK313" s="36"/>
      <c r="DL313" s="36"/>
      <c r="DM313" s="36"/>
      <c r="DN313" s="36"/>
      <c r="DO313" s="36"/>
      <c r="DP313" s="36"/>
      <c r="DQ313" s="36"/>
      <c r="DR313" s="36"/>
      <c r="DS313" s="36"/>
      <c r="DT313" s="36"/>
      <c r="DU313" s="36"/>
      <c r="DV313" s="36"/>
      <c r="DW313" s="36"/>
      <c r="DX313" s="36"/>
      <c r="DY313" s="36"/>
    </row>
    <row r="314" spans="84:129" ht="9" customHeight="1" x14ac:dyDescent="0.2">
      <c r="CF314" s="36"/>
      <c r="CG314" s="36"/>
      <c r="CH314" s="36"/>
      <c r="CI314" s="36"/>
      <c r="CJ314" s="36"/>
      <c r="CK314" s="36"/>
      <c r="CL314" s="36"/>
      <c r="CM314" s="37"/>
      <c r="CN314" s="36"/>
      <c r="CO314" s="36"/>
      <c r="CP314" s="36"/>
      <c r="CQ314" s="36"/>
      <c r="CR314" s="36"/>
      <c r="CS314" s="36"/>
      <c r="CT314" s="36"/>
      <c r="CU314" s="36"/>
      <c r="CV314" s="36"/>
      <c r="CW314" s="36"/>
      <c r="CX314" s="36"/>
      <c r="CY314" s="36"/>
      <c r="CZ314" s="36"/>
      <c r="DA314" s="36"/>
      <c r="DB314" s="36"/>
      <c r="DC314" s="36"/>
      <c r="DD314" s="36"/>
      <c r="DE314" s="36"/>
      <c r="DF314" s="36"/>
      <c r="DG314" s="36"/>
      <c r="DH314" s="36"/>
      <c r="DI314" s="36"/>
      <c r="DJ314" s="36"/>
      <c r="DK314" s="36"/>
      <c r="DL314" s="36"/>
      <c r="DM314" s="36"/>
      <c r="DN314" s="36"/>
      <c r="DO314" s="36"/>
      <c r="DP314" s="36"/>
      <c r="DQ314" s="36"/>
      <c r="DR314" s="36"/>
      <c r="DS314" s="36"/>
      <c r="DT314" s="36"/>
      <c r="DU314" s="36"/>
      <c r="DV314" s="36"/>
      <c r="DW314" s="36"/>
      <c r="DX314" s="36"/>
      <c r="DY314" s="36"/>
    </row>
    <row r="315" spans="84:129" ht="9" customHeight="1" x14ac:dyDescent="0.2">
      <c r="CF315" s="36"/>
      <c r="CG315" s="36"/>
      <c r="CH315" s="36"/>
      <c r="CI315" s="36"/>
      <c r="CJ315" s="36"/>
      <c r="CK315" s="36"/>
      <c r="CL315" s="36"/>
      <c r="CM315" s="37"/>
      <c r="CN315" s="36"/>
      <c r="CO315" s="36"/>
      <c r="CP315" s="36"/>
      <c r="CQ315" s="36"/>
      <c r="CR315" s="36"/>
      <c r="CS315" s="36"/>
      <c r="CT315" s="36"/>
      <c r="CU315" s="36"/>
      <c r="CV315" s="36"/>
      <c r="CW315" s="36"/>
      <c r="CX315" s="36"/>
      <c r="CY315" s="36"/>
      <c r="CZ315" s="36"/>
      <c r="DA315" s="36"/>
      <c r="DB315" s="36"/>
      <c r="DC315" s="36"/>
      <c r="DD315" s="36"/>
      <c r="DE315" s="36"/>
      <c r="DF315" s="36"/>
      <c r="DG315" s="36"/>
      <c r="DH315" s="36"/>
      <c r="DI315" s="36"/>
      <c r="DJ315" s="36"/>
      <c r="DK315" s="36"/>
      <c r="DL315" s="36"/>
      <c r="DM315" s="36"/>
      <c r="DN315" s="36"/>
      <c r="DO315" s="36"/>
      <c r="DP315" s="36"/>
      <c r="DQ315" s="36"/>
      <c r="DR315" s="36"/>
      <c r="DS315" s="36"/>
      <c r="DT315" s="36"/>
      <c r="DU315" s="36"/>
      <c r="DV315" s="36"/>
      <c r="DW315" s="36"/>
      <c r="DX315" s="36"/>
      <c r="DY315" s="36"/>
    </row>
    <row r="316" spans="84:129" ht="9" customHeight="1" x14ac:dyDescent="0.2">
      <c r="CF316" s="36"/>
      <c r="CG316" s="36"/>
      <c r="CH316" s="36"/>
      <c r="CI316" s="36"/>
      <c r="CJ316" s="36"/>
      <c r="CK316" s="36"/>
      <c r="CL316" s="36"/>
      <c r="CM316" s="37"/>
      <c r="CN316" s="36"/>
      <c r="CO316" s="36"/>
      <c r="CP316" s="36"/>
      <c r="CQ316" s="36"/>
      <c r="CR316" s="36"/>
      <c r="CS316" s="36"/>
      <c r="CT316" s="36"/>
      <c r="CU316" s="36"/>
      <c r="CV316" s="36"/>
      <c r="CW316" s="36"/>
      <c r="CX316" s="36"/>
      <c r="CY316" s="36"/>
      <c r="CZ316" s="36"/>
      <c r="DA316" s="36"/>
      <c r="DB316" s="36"/>
      <c r="DC316" s="36"/>
      <c r="DD316" s="36"/>
      <c r="DE316" s="36"/>
      <c r="DF316" s="36"/>
      <c r="DG316" s="36"/>
      <c r="DH316" s="36"/>
      <c r="DI316" s="36"/>
      <c r="DJ316" s="36"/>
      <c r="DK316" s="36"/>
      <c r="DL316" s="36"/>
      <c r="DM316" s="36"/>
      <c r="DN316" s="36"/>
      <c r="DO316" s="36"/>
      <c r="DP316" s="36"/>
      <c r="DQ316" s="36"/>
      <c r="DR316" s="36"/>
      <c r="DS316" s="36"/>
      <c r="DT316" s="36"/>
      <c r="DU316" s="36"/>
      <c r="DV316" s="36"/>
      <c r="DW316" s="36"/>
      <c r="DX316" s="36"/>
      <c r="DY316" s="36"/>
    </row>
    <row r="317" spans="84:129" ht="9" customHeight="1" x14ac:dyDescent="0.2">
      <c r="CF317" s="36"/>
      <c r="CG317" s="36"/>
      <c r="CH317" s="36"/>
      <c r="CI317" s="36"/>
      <c r="CJ317" s="36"/>
      <c r="CK317" s="36"/>
      <c r="CL317" s="36"/>
      <c r="CM317" s="37"/>
      <c r="CN317" s="36"/>
      <c r="CO317" s="36"/>
      <c r="CP317" s="36"/>
      <c r="CQ317" s="36"/>
      <c r="CR317" s="36"/>
      <c r="CS317" s="36"/>
      <c r="CT317" s="36"/>
      <c r="CU317" s="36"/>
      <c r="CV317" s="36"/>
      <c r="CW317" s="36"/>
      <c r="CX317" s="36"/>
      <c r="CY317" s="36"/>
      <c r="CZ317" s="36"/>
      <c r="DA317" s="36"/>
      <c r="DB317" s="36"/>
      <c r="DC317" s="36"/>
      <c r="DD317" s="36"/>
      <c r="DE317" s="36"/>
      <c r="DF317" s="36"/>
      <c r="DG317" s="36"/>
      <c r="DH317" s="36"/>
      <c r="DI317" s="36"/>
      <c r="DJ317" s="36"/>
      <c r="DK317" s="36"/>
      <c r="DL317" s="36"/>
      <c r="DM317" s="36"/>
      <c r="DN317" s="36"/>
      <c r="DO317" s="36"/>
      <c r="DP317" s="36"/>
      <c r="DQ317" s="36"/>
      <c r="DR317" s="36"/>
      <c r="DS317" s="36"/>
      <c r="DT317" s="36"/>
      <c r="DU317" s="36"/>
      <c r="DV317" s="36"/>
      <c r="DW317" s="36"/>
      <c r="DX317" s="36"/>
      <c r="DY317" s="36"/>
    </row>
    <row r="318" spans="84:129" ht="9" customHeight="1" x14ac:dyDescent="0.2">
      <c r="CF318" s="36"/>
      <c r="CG318" s="36"/>
      <c r="CH318" s="36"/>
      <c r="CI318" s="36"/>
      <c r="CJ318" s="36"/>
      <c r="CK318" s="36"/>
      <c r="CL318" s="36"/>
      <c r="CM318" s="37"/>
      <c r="CN318" s="36"/>
      <c r="CO318" s="36"/>
      <c r="CP318" s="36"/>
      <c r="CQ318" s="36"/>
      <c r="CR318" s="36"/>
      <c r="CS318" s="36"/>
      <c r="CT318" s="36"/>
      <c r="CU318" s="36"/>
      <c r="CV318" s="36"/>
      <c r="CW318" s="36"/>
      <c r="CX318" s="36"/>
      <c r="CY318" s="36"/>
      <c r="CZ318" s="36"/>
      <c r="DA318" s="36"/>
      <c r="DB318" s="36"/>
      <c r="DC318" s="36"/>
      <c r="DD318" s="36"/>
      <c r="DE318" s="36"/>
      <c r="DF318" s="36"/>
      <c r="DG318" s="36"/>
      <c r="DH318" s="36"/>
      <c r="DI318" s="36"/>
      <c r="DJ318" s="36"/>
      <c r="DK318" s="36"/>
      <c r="DL318" s="36"/>
      <c r="DM318" s="36"/>
      <c r="DN318" s="36"/>
      <c r="DO318" s="36"/>
      <c r="DP318" s="36"/>
      <c r="DQ318" s="36"/>
      <c r="DR318" s="36"/>
      <c r="DS318" s="36"/>
      <c r="DT318" s="36"/>
      <c r="DU318" s="36"/>
      <c r="DV318" s="36"/>
      <c r="DW318" s="36"/>
      <c r="DX318" s="36"/>
      <c r="DY318" s="36"/>
    </row>
    <row r="319" spans="84:129" ht="9" customHeight="1" x14ac:dyDescent="0.2">
      <c r="CF319" s="36"/>
      <c r="CG319" s="36"/>
      <c r="CH319" s="36"/>
      <c r="CI319" s="36"/>
      <c r="CJ319" s="36"/>
      <c r="CK319" s="36"/>
      <c r="CL319" s="36"/>
      <c r="CM319" s="37"/>
      <c r="CN319" s="36"/>
      <c r="CO319" s="36"/>
      <c r="CP319" s="36"/>
      <c r="CQ319" s="36"/>
      <c r="CR319" s="36"/>
      <c r="CS319" s="36"/>
      <c r="CT319" s="36"/>
      <c r="CU319" s="36"/>
      <c r="CV319" s="36"/>
      <c r="CW319" s="36"/>
      <c r="CX319" s="36"/>
      <c r="CY319" s="36"/>
      <c r="CZ319" s="36"/>
      <c r="DA319" s="36"/>
      <c r="DB319" s="36"/>
      <c r="DC319" s="36"/>
      <c r="DD319" s="36"/>
      <c r="DE319" s="36"/>
      <c r="DF319" s="36"/>
      <c r="DG319" s="36"/>
      <c r="DH319" s="36"/>
      <c r="DI319" s="36"/>
      <c r="DJ319" s="36"/>
      <c r="DK319" s="36"/>
      <c r="DL319" s="36"/>
      <c r="DM319" s="36"/>
      <c r="DN319" s="36"/>
      <c r="DO319" s="36"/>
      <c r="DP319" s="36"/>
      <c r="DQ319" s="36"/>
      <c r="DR319" s="36"/>
      <c r="DS319" s="36"/>
      <c r="DT319" s="36"/>
      <c r="DU319" s="36"/>
      <c r="DV319" s="36"/>
      <c r="DW319" s="36"/>
      <c r="DX319" s="36"/>
      <c r="DY319" s="36"/>
    </row>
    <row r="320" spans="84:129" ht="9" customHeight="1" x14ac:dyDescent="0.2">
      <c r="CF320" s="36"/>
      <c r="CG320" s="36"/>
      <c r="CH320" s="36"/>
      <c r="CI320" s="36"/>
      <c r="CJ320" s="36"/>
      <c r="CK320" s="36"/>
      <c r="CL320" s="36"/>
      <c r="CM320" s="37"/>
      <c r="CN320" s="36"/>
      <c r="CO320" s="36"/>
      <c r="CP320" s="36"/>
      <c r="CQ320" s="36"/>
      <c r="CR320" s="36"/>
      <c r="CS320" s="36"/>
      <c r="CT320" s="36"/>
      <c r="CU320" s="36"/>
      <c r="CV320" s="36"/>
      <c r="CW320" s="36"/>
      <c r="CX320" s="36"/>
      <c r="CY320" s="36"/>
      <c r="CZ320" s="36"/>
      <c r="DA320" s="36"/>
      <c r="DB320" s="36"/>
      <c r="DC320" s="36"/>
      <c r="DD320" s="36"/>
      <c r="DE320" s="36"/>
      <c r="DF320" s="36"/>
      <c r="DG320" s="36"/>
      <c r="DH320" s="36"/>
      <c r="DI320" s="36"/>
      <c r="DJ320" s="36"/>
      <c r="DK320" s="36"/>
      <c r="DL320" s="36"/>
      <c r="DM320" s="36"/>
      <c r="DN320" s="36"/>
      <c r="DO320" s="36"/>
      <c r="DP320" s="36"/>
      <c r="DQ320" s="36"/>
      <c r="DR320" s="36"/>
      <c r="DS320" s="36"/>
      <c r="DT320" s="36"/>
      <c r="DU320" s="36"/>
      <c r="DV320" s="36"/>
      <c r="DW320" s="36"/>
      <c r="DX320" s="36"/>
      <c r="DY320" s="36"/>
    </row>
    <row r="321" spans="84:129" ht="9" customHeight="1" x14ac:dyDescent="0.2">
      <c r="CF321" s="36"/>
      <c r="CG321" s="36"/>
      <c r="CH321" s="36"/>
      <c r="CI321" s="36"/>
      <c r="CJ321" s="36"/>
      <c r="CK321" s="36"/>
      <c r="CL321" s="36"/>
      <c r="CM321" s="37"/>
      <c r="CN321" s="36"/>
      <c r="CO321" s="36"/>
      <c r="CP321" s="36"/>
      <c r="CQ321" s="36"/>
      <c r="CR321" s="36"/>
      <c r="CS321" s="36"/>
      <c r="CT321" s="36"/>
      <c r="CU321" s="36"/>
      <c r="CV321" s="36"/>
      <c r="CW321" s="36"/>
      <c r="CX321" s="36"/>
      <c r="CY321" s="36"/>
      <c r="CZ321" s="36"/>
      <c r="DA321" s="36"/>
      <c r="DB321" s="36"/>
      <c r="DC321" s="36"/>
      <c r="DD321" s="36"/>
      <c r="DE321" s="36"/>
      <c r="DF321" s="36"/>
      <c r="DG321" s="36"/>
      <c r="DH321" s="36"/>
      <c r="DI321" s="36"/>
      <c r="DJ321" s="36"/>
      <c r="DK321" s="36"/>
      <c r="DL321" s="36"/>
      <c r="DM321" s="36"/>
      <c r="DN321" s="36"/>
      <c r="DO321" s="36"/>
      <c r="DP321" s="36"/>
      <c r="DQ321" s="36"/>
      <c r="DR321" s="36"/>
      <c r="DS321" s="36"/>
      <c r="DT321" s="36"/>
      <c r="DU321" s="36"/>
      <c r="DV321" s="36"/>
      <c r="DW321" s="36"/>
      <c r="DX321" s="36"/>
      <c r="DY321" s="36"/>
    </row>
    <row r="322" spans="84:129" ht="9" customHeight="1" x14ac:dyDescent="0.2">
      <c r="CF322" s="36"/>
      <c r="CG322" s="36"/>
      <c r="CH322" s="36"/>
      <c r="CI322" s="36"/>
      <c r="CJ322" s="36"/>
      <c r="CK322" s="36"/>
      <c r="CL322" s="36"/>
      <c r="CM322" s="37"/>
      <c r="CN322" s="36"/>
      <c r="CO322" s="36"/>
      <c r="CP322" s="36"/>
      <c r="CQ322" s="36"/>
      <c r="CR322" s="36"/>
      <c r="CS322" s="36"/>
      <c r="CT322" s="36"/>
      <c r="CU322" s="36"/>
      <c r="CV322" s="36"/>
      <c r="CW322" s="36"/>
      <c r="CX322" s="36"/>
      <c r="CY322" s="36"/>
      <c r="CZ322" s="36"/>
      <c r="DA322" s="36"/>
      <c r="DB322" s="36"/>
      <c r="DC322" s="36"/>
      <c r="DD322" s="36"/>
      <c r="DE322" s="36"/>
      <c r="DF322" s="36"/>
      <c r="DG322" s="36"/>
      <c r="DH322" s="36"/>
      <c r="DI322" s="36"/>
      <c r="DJ322" s="36"/>
      <c r="DK322" s="36"/>
      <c r="DL322" s="36"/>
      <c r="DM322" s="36"/>
      <c r="DN322" s="36"/>
      <c r="DO322" s="36"/>
      <c r="DP322" s="36"/>
      <c r="DQ322" s="36"/>
      <c r="DR322" s="36"/>
      <c r="DS322" s="36"/>
      <c r="DT322" s="36"/>
      <c r="DU322" s="36"/>
      <c r="DV322" s="36"/>
      <c r="DW322" s="36"/>
      <c r="DX322" s="36"/>
      <c r="DY322" s="36"/>
    </row>
    <row r="323" spans="84:129" ht="9" customHeight="1" x14ac:dyDescent="0.2">
      <c r="CF323" s="36"/>
      <c r="CG323" s="36"/>
      <c r="CH323" s="36"/>
      <c r="CI323" s="36"/>
      <c r="CJ323" s="36"/>
      <c r="CK323" s="36"/>
      <c r="CL323" s="36"/>
      <c r="CM323" s="37"/>
      <c r="CN323" s="36"/>
      <c r="CO323" s="36"/>
      <c r="CP323" s="36"/>
      <c r="CQ323" s="36"/>
      <c r="CR323" s="36"/>
      <c r="CS323" s="36"/>
      <c r="CT323" s="36"/>
      <c r="CU323" s="36"/>
      <c r="CV323" s="36"/>
      <c r="CW323" s="36"/>
      <c r="CX323" s="36"/>
      <c r="CY323" s="36"/>
      <c r="CZ323" s="36"/>
      <c r="DA323" s="36"/>
      <c r="DB323" s="36"/>
      <c r="DC323" s="36"/>
      <c r="DD323" s="36"/>
      <c r="DE323" s="36"/>
      <c r="DF323" s="36"/>
      <c r="DG323" s="36"/>
      <c r="DH323" s="36"/>
      <c r="DI323" s="36"/>
      <c r="DJ323" s="36"/>
      <c r="DK323" s="36"/>
      <c r="DL323" s="36"/>
      <c r="DM323" s="36"/>
      <c r="DN323" s="36"/>
      <c r="DO323" s="36"/>
      <c r="DP323" s="36"/>
      <c r="DQ323" s="36"/>
      <c r="DR323" s="36"/>
      <c r="DS323" s="36"/>
      <c r="DT323" s="36"/>
      <c r="DU323" s="36"/>
      <c r="DV323" s="36"/>
      <c r="DW323" s="36"/>
      <c r="DX323" s="36"/>
      <c r="DY323" s="36"/>
    </row>
    <row r="324" spans="84:129" ht="9" customHeight="1" x14ac:dyDescent="0.2">
      <c r="CF324" s="36"/>
      <c r="CG324" s="36"/>
      <c r="CH324" s="36"/>
      <c r="CI324" s="36"/>
      <c r="CJ324" s="36"/>
      <c r="CK324" s="36"/>
      <c r="CL324" s="36"/>
      <c r="CM324" s="37"/>
      <c r="CN324" s="36"/>
      <c r="CO324" s="36"/>
      <c r="CP324" s="36"/>
      <c r="CQ324" s="36"/>
      <c r="CR324" s="36"/>
      <c r="CS324" s="36"/>
      <c r="CT324" s="36"/>
      <c r="CU324" s="36"/>
      <c r="CV324" s="36"/>
      <c r="CW324" s="36"/>
      <c r="CX324" s="36"/>
      <c r="CY324" s="36"/>
      <c r="CZ324" s="36"/>
      <c r="DA324" s="36"/>
      <c r="DB324" s="36"/>
      <c r="DC324" s="36"/>
      <c r="DD324" s="36"/>
      <c r="DE324" s="36"/>
      <c r="DF324" s="36"/>
      <c r="DG324" s="36"/>
      <c r="DH324" s="36"/>
      <c r="DI324" s="36"/>
      <c r="DJ324" s="36"/>
      <c r="DK324" s="36"/>
      <c r="DL324" s="36"/>
      <c r="DM324" s="36"/>
      <c r="DN324" s="36"/>
      <c r="DO324" s="36"/>
      <c r="DP324" s="36"/>
      <c r="DQ324" s="36"/>
      <c r="DR324" s="36"/>
      <c r="DS324" s="36"/>
      <c r="DT324" s="36"/>
      <c r="DU324" s="36"/>
      <c r="DV324" s="36"/>
      <c r="DW324" s="36"/>
      <c r="DX324" s="36"/>
      <c r="DY324" s="36"/>
    </row>
    <row r="325" spans="84:129" ht="9" customHeight="1" x14ac:dyDescent="0.2">
      <c r="CF325" s="36"/>
      <c r="CG325" s="36"/>
      <c r="CH325" s="36"/>
      <c r="CI325" s="36"/>
      <c r="CJ325" s="36"/>
      <c r="CK325" s="36"/>
      <c r="CL325" s="36"/>
      <c r="CM325" s="37"/>
      <c r="CN325" s="36"/>
      <c r="CO325" s="36"/>
      <c r="CP325" s="36"/>
      <c r="CQ325" s="36"/>
      <c r="CR325" s="36"/>
      <c r="CS325" s="36"/>
      <c r="CT325" s="36"/>
      <c r="CU325" s="36"/>
      <c r="CV325" s="36"/>
      <c r="CW325" s="36"/>
      <c r="CX325" s="36"/>
      <c r="CY325" s="36"/>
      <c r="CZ325" s="36"/>
      <c r="DA325" s="36"/>
      <c r="DB325" s="36"/>
      <c r="DC325" s="36"/>
      <c r="DD325" s="36"/>
      <c r="DE325" s="36"/>
      <c r="DF325" s="36"/>
      <c r="DG325" s="36"/>
      <c r="DH325" s="36"/>
      <c r="DI325" s="36"/>
      <c r="DJ325" s="36"/>
      <c r="DK325" s="36"/>
      <c r="DL325" s="36"/>
      <c r="DM325" s="36"/>
      <c r="DN325" s="36"/>
      <c r="DO325" s="36"/>
      <c r="DP325" s="36"/>
      <c r="DQ325" s="36"/>
      <c r="DR325" s="36"/>
      <c r="DS325" s="36"/>
      <c r="DT325" s="36"/>
      <c r="DU325" s="36"/>
      <c r="DV325" s="36"/>
      <c r="DW325" s="36"/>
      <c r="DX325" s="36"/>
      <c r="DY325" s="36"/>
    </row>
    <row r="326" spans="84:129" ht="9" customHeight="1" x14ac:dyDescent="0.2">
      <c r="CF326" s="36"/>
      <c r="CG326" s="36"/>
      <c r="CH326" s="36"/>
      <c r="CI326" s="36"/>
      <c r="CJ326" s="36"/>
      <c r="CK326" s="36"/>
      <c r="CL326" s="36"/>
      <c r="CM326" s="37"/>
      <c r="CN326" s="36"/>
      <c r="CO326" s="36"/>
      <c r="CP326" s="36"/>
      <c r="CQ326" s="36"/>
      <c r="CR326" s="36"/>
      <c r="CS326" s="36"/>
      <c r="CT326" s="36"/>
      <c r="CU326" s="36"/>
      <c r="CV326" s="36"/>
      <c r="CW326" s="36"/>
      <c r="CX326" s="36"/>
      <c r="CY326" s="36"/>
      <c r="CZ326" s="36"/>
      <c r="DA326" s="36"/>
      <c r="DB326" s="36"/>
      <c r="DC326" s="36"/>
      <c r="DD326" s="36"/>
      <c r="DE326" s="36"/>
      <c r="DF326" s="36"/>
      <c r="DG326" s="36"/>
      <c r="DH326" s="36"/>
      <c r="DI326" s="36"/>
      <c r="DJ326" s="36"/>
      <c r="DK326" s="36"/>
      <c r="DL326" s="36"/>
      <c r="DM326" s="36"/>
      <c r="DN326" s="36"/>
      <c r="DO326" s="36"/>
      <c r="DP326" s="36"/>
      <c r="DQ326" s="36"/>
      <c r="DR326" s="36"/>
      <c r="DS326" s="36"/>
      <c r="DT326" s="36"/>
      <c r="DU326" s="36"/>
      <c r="DV326" s="36"/>
      <c r="DW326" s="36"/>
      <c r="DX326" s="36"/>
      <c r="DY326" s="36"/>
    </row>
    <row r="327" spans="84:129" ht="9" customHeight="1" x14ac:dyDescent="0.2">
      <c r="CF327" s="36"/>
      <c r="CG327" s="36"/>
      <c r="CH327" s="36"/>
      <c r="CI327" s="36"/>
      <c r="CJ327" s="36"/>
      <c r="CK327" s="36"/>
      <c r="CL327" s="36"/>
      <c r="CM327" s="37"/>
      <c r="CN327" s="36"/>
      <c r="CO327" s="36"/>
      <c r="CP327" s="36"/>
      <c r="CQ327" s="36"/>
      <c r="CR327" s="36"/>
      <c r="CS327" s="36"/>
      <c r="CT327" s="36"/>
      <c r="CU327" s="36"/>
      <c r="CV327" s="36"/>
      <c r="CW327" s="36"/>
      <c r="CX327" s="36"/>
      <c r="CY327" s="36"/>
      <c r="CZ327" s="36"/>
      <c r="DA327" s="36"/>
      <c r="DB327" s="36"/>
      <c r="DC327" s="36"/>
      <c r="DD327" s="36"/>
      <c r="DE327" s="36"/>
      <c r="DF327" s="36"/>
      <c r="DG327" s="36"/>
      <c r="DH327" s="36"/>
      <c r="DI327" s="36"/>
      <c r="DJ327" s="36"/>
      <c r="DK327" s="36"/>
      <c r="DL327" s="36"/>
      <c r="DM327" s="36"/>
      <c r="DN327" s="36"/>
      <c r="DO327" s="36"/>
      <c r="DP327" s="36"/>
      <c r="DQ327" s="36"/>
      <c r="DR327" s="36"/>
      <c r="DS327" s="36"/>
      <c r="DT327" s="36"/>
      <c r="DU327" s="36"/>
      <c r="DV327" s="36"/>
      <c r="DW327" s="36"/>
      <c r="DX327" s="36"/>
      <c r="DY327" s="36"/>
    </row>
    <row r="328" spans="84:129" ht="9" customHeight="1" x14ac:dyDescent="0.2">
      <c r="CF328" s="36"/>
      <c r="CG328" s="36"/>
      <c r="CH328" s="36"/>
      <c r="CI328" s="36"/>
      <c r="CJ328" s="36"/>
      <c r="CK328" s="36"/>
      <c r="CL328" s="36"/>
      <c r="CM328" s="37"/>
      <c r="CN328" s="36"/>
      <c r="CO328" s="36"/>
      <c r="CP328" s="36"/>
      <c r="CQ328" s="36"/>
      <c r="CR328" s="36"/>
      <c r="CS328" s="36"/>
      <c r="CT328" s="36"/>
      <c r="CU328" s="36"/>
      <c r="CV328" s="36"/>
      <c r="CW328" s="36"/>
      <c r="CX328" s="36"/>
      <c r="CY328" s="36"/>
      <c r="CZ328" s="36"/>
      <c r="DA328" s="36"/>
      <c r="DB328" s="36"/>
      <c r="DC328" s="36"/>
      <c r="DD328" s="36"/>
      <c r="DE328" s="36"/>
      <c r="DF328" s="36"/>
      <c r="DG328" s="36"/>
      <c r="DH328" s="36"/>
      <c r="DI328" s="36"/>
      <c r="DJ328" s="36"/>
      <c r="DK328" s="36"/>
      <c r="DL328" s="36"/>
      <c r="DM328" s="36"/>
      <c r="DN328" s="36"/>
      <c r="DO328" s="36"/>
      <c r="DP328" s="36"/>
      <c r="DQ328" s="36"/>
      <c r="DR328" s="36"/>
      <c r="DS328" s="36"/>
      <c r="DT328" s="36"/>
      <c r="DU328" s="36"/>
      <c r="DV328" s="36"/>
      <c r="DW328" s="36"/>
      <c r="DX328" s="36"/>
      <c r="DY328" s="36"/>
    </row>
    <row r="329" spans="84:129" ht="9" customHeight="1" x14ac:dyDescent="0.2">
      <c r="CF329" s="36"/>
      <c r="CG329" s="36"/>
      <c r="CH329" s="36"/>
      <c r="CI329" s="36"/>
      <c r="CJ329" s="36"/>
      <c r="CK329" s="36"/>
      <c r="CL329" s="36"/>
      <c r="CM329" s="37"/>
      <c r="CN329" s="36"/>
      <c r="CO329" s="36"/>
      <c r="CP329" s="36"/>
      <c r="CQ329" s="36"/>
      <c r="CR329" s="36"/>
      <c r="CS329" s="36"/>
      <c r="CT329" s="36"/>
      <c r="CU329" s="36"/>
      <c r="CV329" s="36"/>
      <c r="CW329" s="36"/>
      <c r="CX329" s="36"/>
      <c r="CY329" s="36"/>
      <c r="CZ329" s="36"/>
      <c r="DA329" s="36"/>
      <c r="DB329" s="36"/>
      <c r="DC329" s="36"/>
      <c r="DD329" s="36"/>
      <c r="DE329" s="36"/>
      <c r="DF329" s="36"/>
      <c r="DG329" s="36"/>
      <c r="DH329" s="36"/>
      <c r="DI329" s="36"/>
      <c r="DJ329" s="36"/>
      <c r="DK329" s="36"/>
      <c r="DL329" s="36"/>
      <c r="DM329" s="36"/>
      <c r="DN329" s="36"/>
      <c r="DO329" s="36"/>
      <c r="DP329" s="36"/>
      <c r="DQ329" s="36"/>
      <c r="DR329" s="36"/>
      <c r="DS329" s="36"/>
      <c r="DT329" s="36"/>
      <c r="DU329" s="36"/>
      <c r="DV329" s="36"/>
      <c r="DW329" s="36"/>
      <c r="DX329" s="36"/>
      <c r="DY329" s="36"/>
    </row>
    <row r="330" spans="84:129" ht="9" customHeight="1" x14ac:dyDescent="0.2">
      <c r="CF330" s="36"/>
      <c r="CG330" s="36"/>
      <c r="CH330" s="36"/>
      <c r="CI330" s="36"/>
      <c r="CJ330" s="36"/>
      <c r="CK330" s="36"/>
      <c r="CL330" s="36"/>
      <c r="CM330" s="37"/>
      <c r="CN330" s="36"/>
      <c r="CO330" s="36"/>
      <c r="CP330" s="36"/>
      <c r="CQ330" s="36"/>
      <c r="CR330" s="36"/>
      <c r="CS330" s="36"/>
      <c r="CT330" s="36"/>
      <c r="CU330" s="36"/>
      <c r="CV330" s="36"/>
      <c r="CW330" s="36"/>
      <c r="CX330" s="36"/>
      <c r="CY330" s="36"/>
      <c r="CZ330" s="36"/>
      <c r="DA330" s="36"/>
      <c r="DB330" s="36"/>
      <c r="DC330" s="36"/>
      <c r="DD330" s="36"/>
      <c r="DE330" s="36"/>
      <c r="DF330" s="36"/>
      <c r="DG330" s="36"/>
      <c r="DH330" s="36"/>
      <c r="DI330" s="36"/>
      <c r="DJ330" s="36"/>
      <c r="DK330" s="36"/>
      <c r="DL330" s="36"/>
      <c r="DM330" s="36"/>
      <c r="DN330" s="36"/>
      <c r="DO330" s="36"/>
      <c r="DP330" s="36"/>
      <c r="DQ330" s="36"/>
      <c r="DR330" s="36"/>
      <c r="DS330" s="36"/>
      <c r="DT330" s="36"/>
      <c r="DU330" s="36"/>
      <c r="DV330" s="36"/>
      <c r="DW330" s="36"/>
      <c r="DX330" s="36"/>
      <c r="DY330" s="36"/>
    </row>
    <row r="331" spans="84:129" ht="9" customHeight="1" x14ac:dyDescent="0.2">
      <c r="CF331" s="36"/>
      <c r="CG331" s="36"/>
      <c r="CH331" s="36"/>
      <c r="CI331" s="36"/>
      <c r="CJ331" s="36"/>
      <c r="CK331" s="36"/>
      <c r="CL331" s="36"/>
      <c r="CM331" s="37"/>
      <c r="CN331" s="36"/>
      <c r="CO331" s="36"/>
      <c r="CP331" s="36"/>
      <c r="CQ331" s="36"/>
      <c r="CR331" s="36"/>
      <c r="CS331" s="36"/>
      <c r="CT331" s="36"/>
      <c r="CU331" s="36"/>
      <c r="CV331" s="36"/>
      <c r="CW331" s="36"/>
      <c r="CX331" s="36"/>
      <c r="CY331" s="36"/>
      <c r="CZ331" s="36"/>
      <c r="DA331" s="36"/>
      <c r="DB331" s="36"/>
      <c r="DC331" s="36"/>
      <c r="DD331" s="36"/>
      <c r="DE331" s="36"/>
      <c r="DF331" s="36"/>
      <c r="DG331" s="36"/>
      <c r="DH331" s="36"/>
      <c r="DI331" s="36"/>
      <c r="DJ331" s="36"/>
      <c r="DK331" s="36"/>
      <c r="DL331" s="36"/>
      <c r="DM331" s="36"/>
      <c r="DN331" s="36"/>
      <c r="DO331" s="36"/>
      <c r="DP331" s="36"/>
      <c r="DQ331" s="36"/>
      <c r="DR331" s="36"/>
      <c r="DS331" s="36"/>
      <c r="DT331" s="36"/>
      <c r="DU331" s="36"/>
      <c r="DV331" s="36"/>
      <c r="DW331" s="36"/>
      <c r="DX331" s="36"/>
      <c r="DY331" s="36"/>
    </row>
    <row r="332" spans="84:129" ht="9" customHeight="1" x14ac:dyDescent="0.2">
      <c r="CF332" s="36"/>
      <c r="CG332" s="36"/>
      <c r="CH332" s="36"/>
      <c r="CI332" s="36"/>
      <c r="CJ332" s="36"/>
      <c r="CK332" s="36"/>
      <c r="CL332" s="36"/>
      <c r="CM332" s="37"/>
      <c r="CN332" s="36"/>
      <c r="CO332" s="36"/>
      <c r="CP332" s="36"/>
      <c r="CQ332" s="36"/>
      <c r="CR332" s="36"/>
      <c r="CS332" s="36"/>
      <c r="CT332" s="36"/>
      <c r="CU332" s="36"/>
      <c r="CV332" s="36"/>
      <c r="CW332" s="36"/>
      <c r="CX332" s="36"/>
      <c r="CY332" s="36"/>
      <c r="CZ332" s="36"/>
      <c r="DA332" s="36"/>
      <c r="DB332" s="36"/>
      <c r="DC332" s="36"/>
      <c r="DD332" s="36"/>
      <c r="DE332" s="36"/>
      <c r="DF332" s="36"/>
      <c r="DG332" s="36"/>
      <c r="DH332" s="36"/>
      <c r="DI332" s="36"/>
      <c r="DJ332" s="36"/>
      <c r="DK332" s="36"/>
      <c r="DL332" s="36"/>
      <c r="DM332" s="36"/>
      <c r="DN332" s="36"/>
      <c r="DO332" s="36"/>
      <c r="DP332" s="36"/>
      <c r="DQ332" s="36"/>
      <c r="DR332" s="36"/>
      <c r="DS332" s="36"/>
      <c r="DT332" s="36"/>
      <c r="DU332" s="36"/>
      <c r="DV332" s="36"/>
      <c r="DW332" s="36"/>
      <c r="DX332" s="36"/>
      <c r="DY332" s="36"/>
    </row>
    <row r="333" spans="84:129" ht="9" customHeight="1" x14ac:dyDescent="0.2">
      <c r="CF333" s="36"/>
      <c r="CG333" s="36"/>
      <c r="CH333" s="36"/>
      <c r="CI333" s="36"/>
      <c r="CJ333" s="36"/>
      <c r="CK333" s="36"/>
      <c r="CL333" s="36"/>
      <c r="CM333" s="37"/>
      <c r="CN333" s="36"/>
      <c r="CO333" s="36"/>
      <c r="CP333" s="36"/>
      <c r="CQ333" s="36"/>
      <c r="CR333" s="36"/>
      <c r="CS333" s="36"/>
      <c r="CT333" s="36"/>
      <c r="CU333" s="36"/>
      <c r="CV333" s="36"/>
      <c r="CW333" s="36"/>
      <c r="CX333" s="36"/>
      <c r="CY333" s="36"/>
      <c r="CZ333" s="36"/>
      <c r="DA333" s="36"/>
      <c r="DB333" s="36"/>
      <c r="DC333" s="36"/>
      <c r="DD333" s="36"/>
      <c r="DE333" s="36"/>
      <c r="DF333" s="36"/>
      <c r="DG333" s="36"/>
      <c r="DH333" s="36"/>
      <c r="DI333" s="36"/>
      <c r="DJ333" s="36"/>
      <c r="DK333" s="36"/>
      <c r="DL333" s="36"/>
      <c r="DM333" s="36"/>
      <c r="DN333" s="36"/>
      <c r="DO333" s="36"/>
      <c r="DP333" s="36"/>
      <c r="DQ333" s="36"/>
      <c r="DR333" s="36"/>
      <c r="DS333" s="36"/>
      <c r="DT333" s="36"/>
      <c r="DU333" s="36"/>
      <c r="DV333" s="36"/>
      <c r="DW333" s="36"/>
      <c r="DX333" s="36"/>
      <c r="DY333" s="36"/>
    </row>
    <row r="334" spans="84:129" ht="9" customHeight="1" x14ac:dyDescent="0.2">
      <c r="CF334" s="36"/>
      <c r="CG334" s="36"/>
      <c r="CH334" s="36"/>
      <c r="CI334" s="36"/>
      <c r="CJ334" s="36"/>
      <c r="CK334" s="36"/>
      <c r="CL334" s="36"/>
      <c r="CM334" s="37"/>
      <c r="CN334" s="36"/>
      <c r="CO334" s="36"/>
      <c r="CP334" s="36"/>
      <c r="CQ334" s="36"/>
      <c r="CR334" s="36"/>
      <c r="CS334" s="36"/>
      <c r="CT334" s="36"/>
      <c r="CU334" s="36"/>
      <c r="CV334" s="36"/>
      <c r="CW334" s="36"/>
      <c r="CX334" s="36"/>
      <c r="CY334" s="36"/>
      <c r="CZ334" s="36"/>
      <c r="DA334" s="36"/>
      <c r="DB334" s="36"/>
      <c r="DC334" s="36"/>
      <c r="DD334" s="36"/>
      <c r="DE334" s="36"/>
      <c r="DF334" s="36"/>
      <c r="DG334" s="36"/>
      <c r="DH334" s="36"/>
      <c r="DI334" s="36"/>
      <c r="DJ334" s="36"/>
      <c r="DK334" s="36"/>
      <c r="DL334" s="36"/>
      <c r="DM334" s="36"/>
      <c r="DN334" s="36"/>
      <c r="DO334" s="36"/>
      <c r="DP334" s="36"/>
      <c r="DQ334" s="36"/>
      <c r="DR334" s="36"/>
      <c r="DS334" s="36"/>
      <c r="DT334" s="36"/>
      <c r="DU334" s="36"/>
      <c r="DV334" s="36"/>
      <c r="DW334" s="36"/>
      <c r="DX334" s="36"/>
      <c r="DY334" s="36"/>
    </row>
    <row r="335" spans="84:129" ht="9" customHeight="1" x14ac:dyDescent="0.2">
      <c r="CF335" s="36"/>
      <c r="CG335" s="36"/>
      <c r="CH335" s="36"/>
      <c r="CI335" s="36"/>
      <c r="CJ335" s="36"/>
      <c r="CK335" s="36"/>
      <c r="CL335" s="36"/>
      <c r="CM335" s="37"/>
      <c r="CN335" s="36"/>
      <c r="CO335" s="36"/>
      <c r="CP335" s="36"/>
      <c r="CQ335" s="36"/>
      <c r="CR335" s="36"/>
      <c r="CS335" s="36"/>
      <c r="CT335" s="36"/>
      <c r="CU335" s="36"/>
      <c r="CV335" s="36"/>
      <c r="CW335" s="36"/>
      <c r="CX335" s="36"/>
      <c r="CY335" s="36"/>
      <c r="CZ335" s="36"/>
      <c r="DA335" s="36"/>
      <c r="DB335" s="36"/>
      <c r="DC335" s="36"/>
      <c r="DD335" s="36"/>
      <c r="DE335" s="36"/>
      <c r="DF335" s="36"/>
      <c r="DG335" s="36"/>
      <c r="DH335" s="36"/>
      <c r="DI335" s="36"/>
      <c r="DJ335" s="36"/>
      <c r="DK335" s="36"/>
      <c r="DL335" s="36"/>
      <c r="DM335" s="36"/>
      <c r="DN335" s="36"/>
      <c r="DO335" s="36"/>
      <c r="DP335" s="36"/>
      <c r="DQ335" s="36"/>
      <c r="DR335" s="36"/>
      <c r="DS335" s="36"/>
      <c r="DT335" s="36"/>
      <c r="DU335" s="36"/>
      <c r="DV335" s="36"/>
      <c r="DW335" s="36"/>
      <c r="DX335" s="36"/>
      <c r="DY335" s="36"/>
    </row>
    <row r="336" spans="84:129" ht="9" customHeight="1" x14ac:dyDescent="0.2">
      <c r="CF336" s="36"/>
      <c r="CG336" s="36"/>
      <c r="CH336" s="36"/>
      <c r="CI336" s="36"/>
      <c r="CJ336" s="36"/>
      <c r="CK336" s="36"/>
      <c r="CL336" s="36"/>
      <c r="CM336" s="37"/>
      <c r="CN336" s="36"/>
      <c r="CO336" s="36"/>
      <c r="CP336" s="36"/>
      <c r="CQ336" s="36"/>
      <c r="CR336" s="36"/>
      <c r="CS336" s="36"/>
      <c r="CT336" s="36"/>
      <c r="CU336" s="36"/>
      <c r="CV336" s="36"/>
      <c r="CW336" s="36"/>
      <c r="CX336" s="36"/>
      <c r="CY336" s="36"/>
      <c r="CZ336" s="36"/>
      <c r="DA336" s="36"/>
      <c r="DB336" s="36"/>
      <c r="DC336" s="36"/>
      <c r="DD336" s="36"/>
      <c r="DE336" s="36"/>
      <c r="DF336" s="36"/>
      <c r="DG336" s="36"/>
      <c r="DH336" s="36"/>
      <c r="DI336" s="36"/>
      <c r="DJ336" s="36"/>
      <c r="DK336" s="36"/>
      <c r="DL336" s="36"/>
      <c r="DM336" s="36"/>
      <c r="DN336" s="36"/>
      <c r="DO336" s="36"/>
      <c r="DP336" s="36"/>
      <c r="DQ336" s="36"/>
      <c r="DR336" s="36"/>
      <c r="DS336" s="36"/>
      <c r="DT336" s="36"/>
      <c r="DU336" s="36"/>
      <c r="DV336" s="36"/>
      <c r="DW336" s="36"/>
      <c r="DX336" s="36"/>
      <c r="DY336" s="36"/>
    </row>
    <row r="337" spans="84:129" ht="9" customHeight="1" x14ac:dyDescent="0.2">
      <c r="CF337" s="36"/>
      <c r="CG337" s="36"/>
      <c r="CH337" s="36"/>
      <c r="CI337" s="36"/>
      <c r="CJ337" s="36"/>
      <c r="CK337" s="36"/>
      <c r="CL337" s="36"/>
      <c r="CM337" s="37"/>
      <c r="CN337" s="36"/>
      <c r="CO337" s="36"/>
      <c r="CP337" s="36"/>
      <c r="CQ337" s="36"/>
      <c r="CR337" s="36"/>
      <c r="CS337" s="36"/>
      <c r="CT337" s="36"/>
      <c r="CU337" s="36"/>
      <c r="CV337" s="36"/>
      <c r="CW337" s="36"/>
      <c r="CX337" s="36"/>
      <c r="CY337" s="36"/>
      <c r="CZ337" s="36"/>
      <c r="DA337" s="36"/>
      <c r="DB337" s="36"/>
      <c r="DC337" s="36"/>
      <c r="DD337" s="36"/>
      <c r="DE337" s="36"/>
      <c r="DF337" s="36"/>
      <c r="DG337" s="36"/>
      <c r="DH337" s="36"/>
      <c r="DI337" s="36"/>
      <c r="DJ337" s="36"/>
      <c r="DK337" s="36"/>
      <c r="DL337" s="36"/>
      <c r="DM337" s="36"/>
      <c r="DN337" s="36"/>
      <c r="DO337" s="36"/>
      <c r="DP337" s="36"/>
      <c r="DQ337" s="36"/>
      <c r="DR337" s="36"/>
      <c r="DS337" s="36"/>
      <c r="DT337" s="36"/>
      <c r="DU337" s="36"/>
      <c r="DV337" s="36"/>
      <c r="DW337" s="36"/>
      <c r="DX337" s="36"/>
      <c r="DY337" s="36"/>
    </row>
    <row r="338" spans="84:129" ht="9" customHeight="1" x14ac:dyDescent="0.2">
      <c r="CF338" s="36"/>
      <c r="CG338" s="36"/>
      <c r="CH338" s="36"/>
      <c r="CI338" s="36"/>
      <c r="CJ338" s="36"/>
      <c r="CK338" s="36"/>
      <c r="CL338" s="36"/>
      <c r="CM338" s="37"/>
      <c r="CN338" s="36"/>
      <c r="CO338" s="36"/>
      <c r="CP338" s="36"/>
      <c r="CQ338" s="36"/>
      <c r="CR338" s="36"/>
      <c r="CS338" s="36"/>
      <c r="CT338" s="36"/>
      <c r="CU338" s="36"/>
      <c r="CV338" s="36"/>
      <c r="CW338" s="36"/>
      <c r="CX338" s="36"/>
      <c r="CY338" s="36"/>
      <c r="CZ338" s="36"/>
      <c r="DA338" s="36"/>
      <c r="DB338" s="36"/>
      <c r="DC338" s="36"/>
      <c r="DD338" s="36"/>
      <c r="DE338" s="36"/>
      <c r="DF338" s="36"/>
      <c r="DG338" s="36"/>
      <c r="DH338" s="36"/>
      <c r="DI338" s="36"/>
      <c r="DJ338" s="36"/>
      <c r="DK338" s="36"/>
      <c r="DL338" s="36"/>
      <c r="DM338" s="36"/>
      <c r="DN338" s="36"/>
      <c r="DO338" s="36"/>
      <c r="DP338" s="36"/>
      <c r="DQ338" s="36"/>
      <c r="DR338" s="36"/>
      <c r="DS338" s="36"/>
      <c r="DT338" s="36"/>
      <c r="DU338" s="36"/>
      <c r="DV338" s="36"/>
      <c r="DW338" s="36"/>
      <c r="DX338" s="36"/>
      <c r="DY338" s="36"/>
    </row>
    <row r="339" spans="84:129" ht="9" customHeight="1" x14ac:dyDescent="0.2">
      <c r="CF339" s="36"/>
      <c r="CG339" s="36"/>
      <c r="CH339" s="36"/>
      <c r="CI339" s="36"/>
      <c r="CJ339" s="36"/>
      <c r="CK339" s="36"/>
      <c r="CL339" s="36"/>
      <c r="CM339" s="37"/>
      <c r="CN339" s="36"/>
      <c r="CO339" s="36"/>
      <c r="CP339" s="36"/>
      <c r="CQ339" s="36"/>
      <c r="CR339" s="36"/>
      <c r="CS339" s="36"/>
      <c r="CT339" s="36"/>
      <c r="CU339" s="36"/>
      <c r="CV339" s="36"/>
      <c r="CW339" s="36"/>
      <c r="CX339" s="36"/>
      <c r="CY339" s="36"/>
      <c r="CZ339" s="36"/>
      <c r="DA339" s="36"/>
      <c r="DB339" s="36"/>
      <c r="DC339" s="36"/>
      <c r="DD339" s="36"/>
      <c r="DE339" s="36"/>
      <c r="DF339" s="36"/>
      <c r="DG339" s="36"/>
      <c r="DH339" s="36"/>
      <c r="DI339" s="36"/>
      <c r="DJ339" s="36"/>
      <c r="DK339" s="36"/>
      <c r="DL339" s="36"/>
      <c r="DM339" s="36"/>
      <c r="DN339" s="36"/>
      <c r="DO339" s="36"/>
      <c r="DP339" s="36"/>
      <c r="DQ339" s="36"/>
      <c r="DR339" s="36"/>
      <c r="DS339" s="36"/>
      <c r="DT339" s="36"/>
      <c r="DU339" s="36"/>
      <c r="DV339" s="36"/>
      <c r="DW339" s="36"/>
      <c r="DX339" s="36"/>
      <c r="DY339" s="36"/>
    </row>
    <row r="340" spans="84:129" ht="9" customHeight="1" x14ac:dyDescent="0.2">
      <c r="CF340" s="36"/>
      <c r="CG340" s="36"/>
      <c r="CH340" s="36"/>
      <c r="CI340" s="36"/>
      <c r="CJ340" s="36"/>
      <c r="CK340" s="36"/>
      <c r="CL340" s="36"/>
      <c r="CM340" s="37"/>
      <c r="CN340" s="36"/>
      <c r="CO340" s="36"/>
      <c r="CP340" s="36"/>
      <c r="CQ340" s="36"/>
      <c r="CR340" s="36"/>
      <c r="CS340" s="36"/>
      <c r="CT340" s="36"/>
      <c r="CU340" s="36"/>
      <c r="CV340" s="36"/>
      <c r="CW340" s="36"/>
      <c r="CX340" s="36"/>
      <c r="CY340" s="36"/>
      <c r="CZ340" s="36"/>
      <c r="DA340" s="36"/>
      <c r="DB340" s="36"/>
      <c r="DC340" s="36"/>
      <c r="DD340" s="36"/>
      <c r="DE340" s="36"/>
      <c r="DF340" s="36"/>
      <c r="DG340" s="36"/>
      <c r="DH340" s="36"/>
      <c r="DI340" s="36"/>
      <c r="DJ340" s="36"/>
      <c r="DK340" s="36"/>
      <c r="DL340" s="36"/>
      <c r="DM340" s="36"/>
      <c r="DN340" s="36"/>
      <c r="DO340" s="36"/>
      <c r="DP340" s="36"/>
      <c r="DQ340" s="36"/>
      <c r="DR340" s="36"/>
      <c r="DS340" s="36"/>
      <c r="DT340" s="36"/>
      <c r="DU340" s="36"/>
      <c r="DV340" s="36"/>
      <c r="DW340" s="36"/>
      <c r="DX340" s="36"/>
      <c r="DY340" s="36"/>
    </row>
    <row r="341" spans="84:129" ht="9" customHeight="1" x14ac:dyDescent="0.2">
      <c r="CF341" s="36"/>
      <c r="CG341" s="36"/>
      <c r="CH341" s="36"/>
      <c r="CI341" s="36"/>
      <c r="CJ341" s="36"/>
      <c r="CK341" s="36"/>
      <c r="CL341" s="36"/>
      <c r="CM341" s="37"/>
      <c r="CN341" s="36"/>
      <c r="CO341" s="36"/>
      <c r="CP341" s="36"/>
      <c r="CQ341" s="36"/>
      <c r="CR341" s="36"/>
      <c r="CS341" s="36"/>
      <c r="CT341" s="36"/>
      <c r="CU341" s="36"/>
      <c r="CV341" s="36"/>
      <c r="CW341" s="36"/>
      <c r="CX341" s="36"/>
      <c r="CY341" s="36"/>
      <c r="CZ341" s="36"/>
      <c r="DA341" s="36"/>
      <c r="DB341" s="36"/>
      <c r="DC341" s="36"/>
      <c r="DD341" s="36"/>
      <c r="DE341" s="36"/>
      <c r="DF341" s="36"/>
      <c r="DG341" s="36"/>
      <c r="DH341" s="36"/>
      <c r="DI341" s="36"/>
      <c r="DJ341" s="36"/>
      <c r="DK341" s="36"/>
      <c r="DL341" s="36"/>
      <c r="DM341" s="36"/>
      <c r="DN341" s="36"/>
      <c r="DO341" s="36"/>
      <c r="DP341" s="36"/>
      <c r="DQ341" s="36"/>
      <c r="DR341" s="36"/>
      <c r="DS341" s="36"/>
      <c r="DT341" s="36"/>
      <c r="DU341" s="36"/>
      <c r="DV341" s="36"/>
      <c r="DW341" s="36"/>
      <c r="DX341" s="36"/>
      <c r="DY341" s="36"/>
    </row>
    <row r="342" spans="84:129" ht="9" customHeight="1" x14ac:dyDescent="0.2">
      <c r="CF342" s="36"/>
      <c r="CG342" s="36"/>
      <c r="CH342" s="36"/>
      <c r="CI342" s="36"/>
      <c r="CJ342" s="36"/>
      <c r="CK342" s="36"/>
      <c r="CL342" s="36"/>
      <c r="CM342" s="37"/>
      <c r="CN342" s="36"/>
      <c r="CO342" s="36"/>
      <c r="CP342" s="36"/>
      <c r="CQ342" s="36"/>
      <c r="CR342" s="36"/>
      <c r="CS342" s="36"/>
      <c r="CT342" s="36"/>
      <c r="CU342" s="36"/>
      <c r="CV342" s="36"/>
      <c r="CW342" s="36"/>
      <c r="CX342" s="36"/>
      <c r="CY342" s="36"/>
      <c r="CZ342" s="36"/>
      <c r="DA342" s="36"/>
      <c r="DB342" s="36"/>
      <c r="DC342" s="36"/>
      <c r="DD342" s="36"/>
      <c r="DE342" s="36"/>
      <c r="DF342" s="36"/>
      <c r="DG342" s="36"/>
      <c r="DH342" s="36"/>
      <c r="DI342" s="36"/>
      <c r="DJ342" s="36"/>
      <c r="DK342" s="36"/>
      <c r="DL342" s="36"/>
      <c r="DM342" s="36"/>
      <c r="DN342" s="36"/>
      <c r="DO342" s="36"/>
      <c r="DP342" s="36"/>
      <c r="DQ342" s="36"/>
      <c r="DR342" s="36"/>
      <c r="DS342" s="36"/>
      <c r="DT342" s="36"/>
      <c r="DU342" s="36"/>
      <c r="DV342" s="36"/>
      <c r="DW342" s="36"/>
      <c r="DX342" s="36"/>
      <c r="DY342" s="36"/>
    </row>
    <row r="343" spans="84:129" ht="9" customHeight="1" x14ac:dyDescent="0.2">
      <c r="CF343" s="36"/>
      <c r="CG343" s="36"/>
      <c r="CH343" s="36"/>
      <c r="CI343" s="36"/>
      <c r="CJ343" s="36"/>
      <c r="CK343" s="36"/>
      <c r="CL343" s="36"/>
      <c r="CM343" s="37"/>
      <c r="CN343" s="36"/>
      <c r="CO343" s="36"/>
      <c r="CP343" s="36"/>
      <c r="CQ343" s="36"/>
      <c r="CR343" s="36"/>
      <c r="CS343" s="36"/>
      <c r="CT343" s="36"/>
      <c r="CU343" s="36"/>
      <c r="CV343" s="36"/>
      <c r="CW343" s="36"/>
      <c r="CX343" s="36"/>
      <c r="CY343" s="36"/>
      <c r="CZ343" s="36"/>
      <c r="DA343" s="36"/>
      <c r="DB343" s="36"/>
      <c r="DC343" s="36"/>
      <c r="DD343" s="36"/>
      <c r="DE343" s="36"/>
      <c r="DF343" s="36"/>
      <c r="DG343" s="36"/>
      <c r="DH343" s="36"/>
      <c r="DI343" s="36"/>
      <c r="DJ343" s="36"/>
      <c r="DK343" s="36"/>
      <c r="DL343" s="36"/>
      <c r="DM343" s="36"/>
      <c r="DN343" s="36"/>
      <c r="DO343" s="36"/>
      <c r="DP343" s="36"/>
      <c r="DQ343" s="36"/>
      <c r="DR343" s="36"/>
      <c r="DS343" s="36"/>
      <c r="DT343" s="36"/>
      <c r="DU343" s="36"/>
      <c r="DV343" s="36"/>
      <c r="DW343" s="36"/>
      <c r="DX343" s="36"/>
      <c r="DY343" s="36"/>
    </row>
    <row r="344" spans="84:129" ht="9" customHeight="1" x14ac:dyDescent="0.2">
      <c r="CF344" s="36"/>
      <c r="CG344" s="36"/>
      <c r="CH344" s="36"/>
      <c r="CI344" s="36"/>
      <c r="CJ344" s="36"/>
      <c r="CK344" s="36"/>
      <c r="CL344" s="36"/>
      <c r="CM344" s="37"/>
      <c r="CN344" s="36"/>
      <c r="CO344" s="36"/>
      <c r="CP344" s="36"/>
      <c r="CQ344" s="36"/>
      <c r="CR344" s="36"/>
      <c r="CS344" s="36"/>
      <c r="CT344" s="36"/>
      <c r="CU344" s="36"/>
      <c r="CV344" s="36"/>
      <c r="CW344" s="36"/>
      <c r="CX344" s="36"/>
      <c r="CY344" s="36"/>
      <c r="CZ344" s="36"/>
      <c r="DA344" s="36"/>
      <c r="DB344" s="36"/>
      <c r="DC344" s="36"/>
      <c r="DD344" s="36"/>
      <c r="DE344" s="36"/>
      <c r="DF344" s="36"/>
      <c r="DG344" s="36"/>
      <c r="DH344" s="36"/>
      <c r="DI344" s="36"/>
      <c r="DJ344" s="36"/>
      <c r="DK344" s="36"/>
      <c r="DL344" s="36"/>
      <c r="DM344" s="36"/>
      <c r="DN344" s="36"/>
      <c r="DO344" s="36"/>
      <c r="DP344" s="36"/>
      <c r="DQ344" s="36"/>
      <c r="DR344" s="36"/>
      <c r="DS344" s="36"/>
      <c r="DT344" s="36"/>
      <c r="DU344" s="36"/>
      <c r="DV344" s="36"/>
      <c r="DW344" s="36"/>
      <c r="DX344" s="36"/>
      <c r="DY344" s="36"/>
    </row>
    <row r="345" spans="84:129" ht="9" customHeight="1" x14ac:dyDescent="0.2">
      <c r="CF345" s="36"/>
      <c r="CG345" s="36"/>
      <c r="CH345" s="36"/>
      <c r="CI345" s="36"/>
      <c r="CJ345" s="36"/>
      <c r="CK345" s="36"/>
      <c r="CL345" s="36"/>
      <c r="CM345" s="37"/>
      <c r="CN345" s="36"/>
      <c r="CO345" s="36"/>
      <c r="CP345" s="36"/>
      <c r="CQ345" s="36"/>
      <c r="CR345" s="36"/>
      <c r="CS345" s="36"/>
      <c r="CT345" s="36"/>
      <c r="CU345" s="36"/>
      <c r="CV345" s="36"/>
      <c r="CW345" s="36"/>
      <c r="CX345" s="36"/>
      <c r="CY345" s="36"/>
      <c r="CZ345" s="36"/>
      <c r="DA345" s="36"/>
      <c r="DB345" s="36"/>
      <c r="DC345" s="36"/>
      <c r="DD345" s="36"/>
      <c r="DE345" s="36"/>
      <c r="DF345" s="36"/>
      <c r="DG345" s="36"/>
      <c r="DH345" s="36"/>
      <c r="DI345" s="36"/>
      <c r="DJ345" s="36"/>
      <c r="DK345" s="36"/>
      <c r="DL345" s="36"/>
      <c r="DM345" s="36"/>
      <c r="DN345" s="36"/>
      <c r="DO345" s="36"/>
      <c r="DP345" s="36"/>
      <c r="DQ345" s="36"/>
      <c r="DR345" s="36"/>
      <c r="DS345" s="36"/>
      <c r="DT345" s="36"/>
      <c r="DU345" s="36"/>
      <c r="DV345" s="36"/>
      <c r="DW345" s="36"/>
      <c r="DX345" s="36"/>
      <c r="DY345" s="36"/>
    </row>
    <row r="346" spans="84:129" ht="9" customHeight="1" x14ac:dyDescent="0.2">
      <c r="CF346" s="36"/>
      <c r="CG346" s="36"/>
      <c r="CH346" s="36"/>
      <c r="CI346" s="36"/>
      <c r="CJ346" s="36"/>
      <c r="CK346" s="36"/>
      <c r="CL346" s="36"/>
      <c r="CM346" s="37"/>
      <c r="CN346" s="36"/>
      <c r="CO346" s="36"/>
      <c r="CP346" s="36"/>
      <c r="CQ346" s="36"/>
      <c r="CR346" s="36"/>
      <c r="CS346" s="36"/>
      <c r="CT346" s="36"/>
      <c r="CU346" s="36"/>
      <c r="CV346" s="36"/>
      <c r="CW346" s="36"/>
      <c r="CX346" s="36"/>
      <c r="CY346" s="36"/>
      <c r="CZ346" s="36"/>
      <c r="DA346" s="36"/>
      <c r="DB346" s="36"/>
      <c r="DC346" s="36"/>
      <c r="DD346" s="36"/>
      <c r="DE346" s="36"/>
      <c r="DF346" s="36"/>
      <c r="DG346" s="36"/>
      <c r="DH346" s="36"/>
      <c r="DI346" s="36"/>
      <c r="DJ346" s="36"/>
      <c r="DK346" s="36"/>
      <c r="DL346" s="36"/>
      <c r="DM346" s="36"/>
      <c r="DN346" s="36"/>
      <c r="DO346" s="36"/>
      <c r="DP346" s="36"/>
      <c r="DQ346" s="36"/>
      <c r="DR346" s="36"/>
      <c r="DS346" s="36"/>
      <c r="DT346" s="36"/>
      <c r="DU346" s="36"/>
      <c r="DV346" s="36"/>
      <c r="DW346" s="36"/>
      <c r="DX346" s="36"/>
      <c r="DY346" s="36"/>
    </row>
    <row r="347" spans="84:129" ht="9" customHeight="1" x14ac:dyDescent="0.2">
      <c r="CF347" s="36"/>
      <c r="CG347" s="36"/>
      <c r="CH347" s="36"/>
      <c r="CI347" s="36"/>
      <c r="CJ347" s="36"/>
      <c r="CK347" s="36"/>
      <c r="CL347" s="36"/>
      <c r="CM347" s="37"/>
      <c r="CN347" s="36"/>
      <c r="CO347" s="36"/>
      <c r="CP347" s="36"/>
      <c r="CQ347" s="36"/>
      <c r="CR347" s="36"/>
      <c r="CS347" s="36"/>
      <c r="CT347" s="36"/>
      <c r="CU347" s="36"/>
      <c r="CV347" s="36"/>
      <c r="CW347" s="36"/>
      <c r="CX347" s="36"/>
      <c r="CY347" s="36"/>
      <c r="CZ347" s="36"/>
      <c r="DA347" s="36"/>
      <c r="DB347" s="36"/>
      <c r="DC347" s="36"/>
      <c r="DD347" s="36"/>
      <c r="DE347" s="36"/>
      <c r="DF347" s="36"/>
      <c r="DG347" s="36"/>
      <c r="DH347" s="36"/>
      <c r="DI347" s="36"/>
      <c r="DJ347" s="36"/>
      <c r="DK347" s="36"/>
      <c r="DL347" s="36"/>
      <c r="DM347" s="36"/>
      <c r="DN347" s="36"/>
      <c r="DO347" s="36"/>
      <c r="DP347" s="36"/>
      <c r="DQ347" s="36"/>
      <c r="DR347" s="36"/>
      <c r="DS347" s="36"/>
      <c r="DT347" s="36"/>
      <c r="DU347" s="36"/>
      <c r="DV347" s="36"/>
      <c r="DW347" s="36"/>
      <c r="DX347" s="36"/>
      <c r="DY347" s="36"/>
    </row>
    <row r="348" spans="84:129" ht="9" customHeight="1" x14ac:dyDescent="0.2">
      <c r="CF348" s="36"/>
      <c r="CG348" s="36"/>
      <c r="CH348" s="36"/>
      <c r="CI348" s="36"/>
      <c r="CJ348" s="36"/>
      <c r="CK348" s="36"/>
      <c r="CL348" s="36"/>
      <c r="CM348" s="37"/>
      <c r="CN348" s="36"/>
      <c r="CO348" s="36"/>
      <c r="CP348" s="36"/>
      <c r="CQ348" s="36"/>
      <c r="CR348" s="36"/>
      <c r="CS348" s="36"/>
      <c r="CT348" s="36"/>
      <c r="CU348" s="36"/>
      <c r="CV348" s="36"/>
      <c r="CW348" s="36"/>
      <c r="CX348" s="36"/>
      <c r="CY348" s="36"/>
      <c r="CZ348" s="36"/>
      <c r="DA348" s="36"/>
      <c r="DB348" s="36"/>
      <c r="DC348" s="36"/>
      <c r="DD348" s="36"/>
      <c r="DE348" s="36"/>
      <c r="DF348" s="36"/>
      <c r="DG348" s="36"/>
      <c r="DH348" s="36"/>
      <c r="DI348" s="36"/>
      <c r="DJ348" s="36"/>
      <c r="DK348" s="36"/>
      <c r="DL348" s="36"/>
      <c r="DM348" s="36"/>
      <c r="DN348" s="36"/>
      <c r="DO348" s="36"/>
      <c r="DP348" s="36"/>
      <c r="DQ348" s="36"/>
      <c r="DR348" s="36"/>
      <c r="DS348" s="36"/>
      <c r="DT348" s="36"/>
      <c r="DU348" s="36"/>
      <c r="DV348" s="36"/>
      <c r="DW348" s="36"/>
      <c r="DX348" s="36"/>
      <c r="DY348" s="36"/>
    </row>
    <row r="349" spans="84:129" ht="9" customHeight="1" x14ac:dyDescent="0.2">
      <c r="CF349" s="36"/>
      <c r="CG349" s="36"/>
      <c r="CH349" s="36"/>
      <c r="CI349" s="36"/>
      <c r="CJ349" s="36"/>
      <c r="CK349" s="36"/>
      <c r="CL349" s="36"/>
      <c r="CM349" s="37"/>
      <c r="CN349" s="36"/>
      <c r="CO349" s="36"/>
      <c r="CP349" s="36"/>
      <c r="CQ349" s="36"/>
      <c r="CR349" s="36"/>
      <c r="CS349" s="36"/>
      <c r="CT349" s="36"/>
      <c r="CU349" s="36"/>
      <c r="CV349" s="36"/>
      <c r="CW349" s="36"/>
      <c r="CX349" s="36"/>
      <c r="CY349" s="36"/>
      <c r="CZ349" s="36"/>
      <c r="DA349" s="36"/>
      <c r="DB349" s="36"/>
      <c r="DC349" s="36"/>
      <c r="DD349" s="36"/>
      <c r="DE349" s="36"/>
      <c r="DF349" s="36"/>
      <c r="DG349" s="36"/>
      <c r="DH349" s="36"/>
      <c r="DI349" s="36"/>
      <c r="DJ349" s="36"/>
      <c r="DK349" s="36"/>
      <c r="DL349" s="36"/>
      <c r="DM349" s="36"/>
      <c r="DN349" s="36"/>
      <c r="DO349" s="36"/>
      <c r="DP349" s="36"/>
      <c r="DQ349" s="36"/>
      <c r="DR349" s="36"/>
      <c r="DS349" s="36"/>
      <c r="DT349" s="36"/>
      <c r="DU349" s="36"/>
      <c r="DV349" s="36"/>
      <c r="DW349" s="36"/>
      <c r="DX349" s="36"/>
      <c r="DY349" s="36"/>
    </row>
    <row r="350" spans="84:129" ht="9" customHeight="1" x14ac:dyDescent="0.2">
      <c r="CF350" s="36"/>
      <c r="CG350" s="36"/>
      <c r="CH350" s="36"/>
      <c r="CI350" s="36"/>
      <c r="CJ350" s="36"/>
      <c r="CK350" s="36"/>
      <c r="CL350" s="36"/>
      <c r="CM350" s="37"/>
      <c r="CN350" s="36"/>
      <c r="CO350" s="36"/>
      <c r="CP350" s="36"/>
      <c r="CQ350" s="36"/>
      <c r="CR350" s="36"/>
      <c r="CS350" s="36"/>
      <c r="CT350" s="36"/>
      <c r="CU350" s="36"/>
      <c r="CV350" s="36"/>
      <c r="CW350" s="36"/>
      <c r="CX350" s="36"/>
      <c r="CY350" s="36"/>
      <c r="CZ350" s="36"/>
      <c r="DA350" s="36"/>
      <c r="DB350" s="36"/>
      <c r="DC350" s="36"/>
      <c r="DD350" s="36"/>
      <c r="DE350" s="36"/>
      <c r="DF350" s="36"/>
      <c r="DG350" s="36"/>
      <c r="DH350" s="36"/>
      <c r="DI350" s="36"/>
      <c r="DJ350" s="36"/>
      <c r="DK350" s="36"/>
      <c r="DL350" s="36"/>
      <c r="DM350" s="36"/>
      <c r="DN350" s="36"/>
      <c r="DO350" s="36"/>
      <c r="DP350" s="36"/>
      <c r="DQ350" s="36"/>
      <c r="DR350" s="36"/>
      <c r="DS350" s="36"/>
      <c r="DT350" s="36"/>
      <c r="DU350" s="36"/>
      <c r="DV350" s="36"/>
      <c r="DW350" s="36"/>
      <c r="DX350" s="36"/>
      <c r="DY350" s="36"/>
    </row>
    <row r="351" spans="84:129" ht="9" customHeight="1" x14ac:dyDescent="0.2">
      <c r="CF351" s="36"/>
      <c r="CG351" s="36"/>
      <c r="CH351" s="36"/>
      <c r="CI351" s="36"/>
      <c r="CJ351" s="36"/>
      <c r="CK351" s="36"/>
      <c r="CL351" s="36"/>
      <c r="CM351" s="37"/>
      <c r="CN351" s="36"/>
      <c r="CO351" s="36"/>
      <c r="CP351" s="36"/>
      <c r="CQ351" s="36"/>
      <c r="CR351" s="36"/>
      <c r="CS351" s="36"/>
      <c r="CT351" s="36"/>
      <c r="CU351" s="36"/>
      <c r="CV351" s="36"/>
      <c r="CW351" s="36"/>
      <c r="CX351" s="36"/>
      <c r="CY351" s="36"/>
      <c r="CZ351" s="36"/>
      <c r="DA351" s="36"/>
      <c r="DB351" s="36"/>
      <c r="DC351" s="36"/>
      <c r="DD351" s="36"/>
      <c r="DE351" s="36"/>
      <c r="DF351" s="36"/>
      <c r="DG351" s="36"/>
      <c r="DH351" s="36"/>
      <c r="DI351" s="36"/>
      <c r="DJ351" s="36"/>
      <c r="DK351" s="36"/>
      <c r="DL351" s="36"/>
      <c r="DM351" s="36"/>
      <c r="DN351" s="36"/>
      <c r="DO351" s="36"/>
      <c r="DP351" s="36"/>
      <c r="DQ351" s="36"/>
      <c r="DR351" s="36"/>
      <c r="DS351" s="36"/>
      <c r="DT351" s="36"/>
      <c r="DU351" s="36"/>
      <c r="DV351" s="36"/>
      <c r="DW351" s="36"/>
      <c r="DX351" s="36"/>
      <c r="DY351" s="36"/>
    </row>
    <row r="352" spans="84:129" ht="9" customHeight="1" x14ac:dyDescent="0.2">
      <c r="CF352" s="36"/>
      <c r="CG352" s="36"/>
      <c r="CH352" s="36"/>
      <c r="CI352" s="36"/>
      <c r="CJ352" s="36"/>
      <c r="CK352" s="36"/>
      <c r="CL352" s="36"/>
      <c r="CM352" s="37"/>
      <c r="CN352" s="36"/>
      <c r="CO352" s="36"/>
      <c r="CP352" s="36"/>
      <c r="CQ352" s="36"/>
      <c r="CR352" s="36"/>
      <c r="CS352" s="36"/>
      <c r="CT352" s="36"/>
      <c r="CU352" s="36"/>
      <c r="CV352" s="36"/>
      <c r="CW352" s="36"/>
      <c r="CX352" s="36"/>
      <c r="CY352" s="36"/>
      <c r="CZ352" s="36"/>
      <c r="DA352" s="36"/>
      <c r="DB352" s="36"/>
      <c r="DC352" s="36"/>
      <c r="DD352" s="36"/>
      <c r="DE352" s="36"/>
      <c r="DF352" s="36"/>
      <c r="DG352" s="36"/>
      <c r="DH352" s="36"/>
      <c r="DI352" s="36"/>
      <c r="DJ352" s="36"/>
      <c r="DK352" s="36"/>
      <c r="DL352" s="36"/>
      <c r="DM352" s="36"/>
      <c r="DN352" s="36"/>
      <c r="DO352" s="36"/>
      <c r="DP352" s="36"/>
      <c r="DQ352" s="36"/>
      <c r="DR352" s="36"/>
      <c r="DS352" s="36"/>
      <c r="DT352" s="36"/>
      <c r="DU352" s="36"/>
      <c r="DV352" s="36"/>
      <c r="DW352" s="36"/>
      <c r="DX352" s="36"/>
      <c r="DY352" s="36"/>
    </row>
    <row r="353" spans="84:129" ht="9" customHeight="1" x14ac:dyDescent="0.2">
      <c r="CF353" s="36"/>
      <c r="CG353" s="36"/>
      <c r="CH353" s="36"/>
      <c r="CI353" s="36"/>
      <c r="CJ353" s="36"/>
      <c r="CK353" s="36"/>
      <c r="CL353" s="36"/>
      <c r="CM353" s="37"/>
      <c r="CN353" s="36"/>
      <c r="CO353" s="36"/>
      <c r="CP353" s="36"/>
      <c r="CQ353" s="36"/>
      <c r="CR353" s="36"/>
      <c r="CS353" s="36"/>
      <c r="CT353" s="36"/>
      <c r="CU353" s="36"/>
      <c r="CV353" s="36"/>
      <c r="CW353" s="36"/>
      <c r="CX353" s="36"/>
      <c r="CY353" s="36"/>
      <c r="CZ353" s="36"/>
      <c r="DA353" s="36"/>
      <c r="DB353" s="36"/>
      <c r="DC353" s="36"/>
      <c r="DD353" s="36"/>
      <c r="DE353" s="36"/>
      <c r="DF353" s="36"/>
      <c r="DG353" s="36"/>
      <c r="DH353" s="36"/>
      <c r="DI353" s="36"/>
      <c r="DJ353" s="36"/>
      <c r="DK353" s="36"/>
      <c r="DL353" s="36"/>
      <c r="DM353" s="36"/>
      <c r="DN353" s="36"/>
      <c r="DO353" s="36"/>
      <c r="DP353" s="36"/>
      <c r="DQ353" s="36"/>
      <c r="DR353" s="36"/>
      <c r="DS353" s="36"/>
      <c r="DT353" s="36"/>
      <c r="DU353" s="36"/>
      <c r="DV353" s="36"/>
      <c r="DW353" s="36"/>
      <c r="DX353" s="36"/>
      <c r="DY353" s="36"/>
    </row>
    <row r="354" spans="84:129" ht="9" customHeight="1" x14ac:dyDescent="0.2">
      <c r="CF354" s="36"/>
      <c r="CG354" s="36"/>
      <c r="CH354" s="36"/>
      <c r="CI354" s="36"/>
      <c r="CJ354" s="36"/>
      <c r="CK354" s="36"/>
      <c r="CL354" s="36"/>
      <c r="CM354" s="37"/>
      <c r="CN354" s="36"/>
      <c r="CO354" s="36"/>
      <c r="CP354" s="36"/>
      <c r="CQ354" s="36"/>
      <c r="CR354" s="36"/>
      <c r="CS354" s="36"/>
      <c r="CT354" s="36"/>
      <c r="CU354" s="36"/>
      <c r="CV354" s="36"/>
      <c r="CW354" s="36"/>
      <c r="CX354" s="36"/>
      <c r="CY354" s="36"/>
      <c r="CZ354" s="36"/>
      <c r="DA354" s="36"/>
      <c r="DB354" s="36"/>
      <c r="DC354" s="36"/>
      <c r="DD354" s="36"/>
      <c r="DE354" s="36"/>
      <c r="DF354" s="36"/>
      <c r="DG354" s="36"/>
      <c r="DH354" s="36"/>
      <c r="DI354" s="36"/>
      <c r="DJ354" s="36"/>
      <c r="DK354" s="36"/>
      <c r="DL354" s="36"/>
      <c r="DM354" s="36"/>
      <c r="DN354" s="36"/>
      <c r="DO354" s="36"/>
      <c r="DP354" s="36"/>
      <c r="DQ354" s="36"/>
      <c r="DR354" s="36"/>
      <c r="DS354" s="36"/>
      <c r="DT354" s="36"/>
      <c r="DU354" s="36"/>
      <c r="DV354" s="36"/>
      <c r="DW354" s="36"/>
      <c r="DX354" s="36"/>
      <c r="DY354" s="36"/>
    </row>
    <row r="355" spans="84:129" ht="9" customHeight="1" x14ac:dyDescent="0.2">
      <c r="CF355" s="36"/>
      <c r="CG355" s="36"/>
      <c r="CH355" s="36"/>
      <c r="CI355" s="36"/>
      <c r="CJ355" s="36"/>
      <c r="CK355" s="36"/>
      <c r="CL355" s="36"/>
      <c r="CM355" s="37"/>
      <c r="CN355" s="36"/>
      <c r="CO355" s="36"/>
      <c r="CP355" s="36"/>
      <c r="CQ355" s="36"/>
      <c r="CR355" s="36"/>
      <c r="CS355" s="36"/>
      <c r="CT355" s="36"/>
      <c r="CU355" s="36"/>
      <c r="CV355" s="36"/>
      <c r="CW355" s="36"/>
      <c r="CX355" s="36"/>
      <c r="CY355" s="36"/>
      <c r="CZ355" s="36"/>
      <c r="DA355" s="36"/>
      <c r="DB355" s="36"/>
      <c r="DC355" s="36"/>
      <c r="DD355" s="36"/>
      <c r="DE355" s="36"/>
      <c r="DF355" s="36"/>
      <c r="DG355" s="36"/>
      <c r="DH355" s="36"/>
      <c r="DI355" s="36"/>
      <c r="DJ355" s="36"/>
      <c r="DK355" s="36"/>
      <c r="DL355" s="36"/>
      <c r="DM355" s="36"/>
      <c r="DN355" s="36"/>
      <c r="DO355" s="36"/>
      <c r="DP355" s="36"/>
      <c r="DQ355" s="36"/>
      <c r="DR355" s="36"/>
      <c r="DS355" s="36"/>
      <c r="DT355" s="36"/>
      <c r="DU355" s="36"/>
      <c r="DV355" s="36"/>
      <c r="DW355" s="36"/>
      <c r="DX355" s="36"/>
      <c r="DY355" s="36"/>
    </row>
    <row r="356" spans="84:129" ht="9" customHeight="1" x14ac:dyDescent="0.2">
      <c r="CF356" s="36"/>
      <c r="CG356" s="36"/>
      <c r="CH356" s="36"/>
      <c r="CI356" s="36"/>
      <c r="CJ356" s="36"/>
      <c r="CK356" s="36"/>
      <c r="CL356" s="36"/>
      <c r="CM356" s="37"/>
      <c r="CN356" s="36"/>
      <c r="CO356" s="36"/>
      <c r="CP356" s="36"/>
      <c r="CQ356" s="36"/>
      <c r="CR356" s="36"/>
      <c r="CS356" s="36"/>
      <c r="CT356" s="36"/>
      <c r="CU356" s="36"/>
      <c r="CV356" s="36"/>
      <c r="CW356" s="36"/>
      <c r="CX356" s="36"/>
      <c r="CY356" s="36"/>
      <c r="CZ356" s="36"/>
      <c r="DA356" s="36"/>
      <c r="DB356" s="36"/>
      <c r="DC356" s="36"/>
      <c r="DD356" s="36"/>
      <c r="DE356" s="36"/>
      <c r="DF356" s="36"/>
      <c r="DG356" s="36"/>
      <c r="DH356" s="36"/>
      <c r="DI356" s="36"/>
      <c r="DJ356" s="36"/>
      <c r="DK356" s="36"/>
      <c r="DL356" s="36"/>
      <c r="DM356" s="36"/>
      <c r="DN356" s="36"/>
      <c r="DO356" s="36"/>
      <c r="DP356" s="36"/>
      <c r="DQ356" s="36"/>
      <c r="DR356" s="36"/>
      <c r="DS356" s="36"/>
      <c r="DT356" s="36"/>
      <c r="DU356" s="36"/>
      <c r="DV356" s="36"/>
      <c r="DW356" s="36"/>
      <c r="DX356" s="36"/>
      <c r="DY356" s="36"/>
    </row>
    <row r="357" spans="84:129" ht="9" customHeight="1" x14ac:dyDescent="0.2">
      <c r="CF357" s="36"/>
      <c r="CG357" s="36"/>
      <c r="CH357" s="36"/>
      <c r="CI357" s="36"/>
      <c r="CJ357" s="36"/>
      <c r="CK357" s="36"/>
      <c r="CL357" s="36"/>
      <c r="CM357" s="37"/>
      <c r="CN357" s="36"/>
      <c r="CO357" s="36"/>
      <c r="CP357" s="36"/>
      <c r="CQ357" s="36"/>
      <c r="CR357" s="36"/>
      <c r="CS357" s="36"/>
      <c r="CT357" s="36"/>
      <c r="CU357" s="36"/>
      <c r="CV357" s="36"/>
      <c r="CW357" s="36"/>
      <c r="CX357" s="36"/>
      <c r="CY357" s="36"/>
      <c r="CZ357" s="36"/>
      <c r="DA357" s="36"/>
      <c r="DB357" s="36"/>
      <c r="DC357" s="36"/>
      <c r="DD357" s="36"/>
      <c r="DE357" s="36"/>
      <c r="DF357" s="36"/>
      <c r="DG357" s="36"/>
      <c r="DH357" s="36"/>
      <c r="DI357" s="36"/>
      <c r="DJ357" s="36"/>
      <c r="DK357" s="36"/>
      <c r="DL357" s="36"/>
      <c r="DM357" s="36"/>
      <c r="DN357" s="36"/>
      <c r="DO357" s="36"/>
      <c r="DP357" s="36"/>
      <c r="DQ357" s="36"/>
      <c r="DR357" s="36"/>
      <c r="DS357" s="36"/>
      <c r="DT357" s="36"/>
      <c r="DU357" s="36"/>
      <c r="DV357" s="36"/>
      <c r="DW357" s="36"/>
      <c r="DX357" s="36"/>
      <c r="DY357" s="36"/>
    </row>
    <row r="358" spans="84:129" ht="9" customHeight="1" x14ac:dyDescent="0.2">
      <c r="CF358" s="36"/>
      <c r="CG358" s="36"/>
      <c r="CH358" s="36"/>
      <c r="CI358" s="36"/>
      <c r="CJ358" s="36"/>
      <c r="CK358" s="36"/>
      <c r="CL358" s="36"/>
      <c r="CM358" s="37"/>
      <c r="CN358" s="36"/>
      <c r="CO358" s="36"/>
      <c r="CP358" s="36"/>
      <c r="CQ358" s="36"/>
      <c r="CR358" s="36"/>
      <c r="CS358" s="36"/>
      <c r="CT358" s="36"/>
      <c r="CU358" s="36"/>
      <c r="CV358" s="36"/>
      <c r="CW358" s="36"/>
      <c r="CX358" s="36"/>
      <c r="CY358" s="36"/>
      <c r="CZ358" s="36"/>
      <c r="DA358" s="36"/>
      <c r="DB358" s="36"/>
      <c r="DC358" s="36"/>
      <c r="DD358" s="36"/>
      <c r="DE358" s="36"/>
      <c r="DF358" s="36"/>
      <c r="DG358" s="36"/>
      <c r="DH358" s="36"/>
      <c r="DI358" s="36"/>
      <c r="DJ358" s="36"/>
      <c r="DK358" s="36"/>
      <c r="DL358" s="36"/>
      <c r="DM358" s="36"/>
      <c r="DN358" s="36"/>
      <c r="DO358" s="36"/>
      <c r="DP358" s="36"/>
      <c r="DQ358" s="36"/>
      <c r="DR358" s="36"/>
      <c r="DS358" s="36"/>
      <c r="DT358" s="36"/>
      <c r="DU358" s="36"/>
      <c r="DV358" s="36"/>
      <c r="DW358" s="36"/>
      <c r="DX358" s="36"/>
      <c r="DY358" s="36"/>
    </row>
    <row r="359" spans="84:129" ht="9" customHeight="1" x14ac:dyDescent="0.2">
      <c r="CF359" s="36"/>
      <c r="CG359" s="36"/>
      <c r="CH359" s="36"/>
      <c r="CI359" s="36"/>
      <c r="CJ359" s="36"/>
      <c r="CK359" s="36"/>
      <c r="CL359" s="36"/>
      <c r="CM359" s="37"/>
      <c r="CN359" s="36"/>
      <c r="CO359" s="36"/>
      <c r="CP359" s="36"/>
      <c r="CQ359" s="36"/>
      <c r="CR359" s="36"/>
      <c r="CS359" s="36"/>
      <c r="CT359" s="36"/>
      <c r="CU359" s="36"/>
      <c r="CV359" s="36"/>
      <c r="CW359" s="36"/>
      <c r="CX359" s="36"/>
      <c r="CY359" s="36"/>
      <c r="CZ359" s="36"/>
      <c r="DA359" s="36"/>
      <c r="DB359" s="36"/>
      <c r="DC359" s="36"/>
      <c r="DD359" s="36"/>
      <c r="DE359" s="36"/>
      <c r="DF359" s="36"/>
      <c r="DG359" s="36"/>
      <c r="DH359" s="36"/>
      <c r="DI359" s="36"/>
      <c r="DJ359" s="36"/>
      <c r="DK359" s="36"/>
      <c r="DL359" s="36"/>
      <c r="DM359" s="36"/>
      <c r="DN359" s="36"/>
      <c r="DO359" s="36"/>
      <c r="DP359" s="36"/>
      <c r="DQ359" s="36"/>
      <c r="DR359" s="36"/>
      <c r="DS359" s="36"/>
      <c r="DT359" s="36"/>
      <c r="DU359" s="36"/>
      <c r="DV359" s="36"/>
      <c r="DW359" s="36"/>
      <c r="DX359" s="36"/>
      <c r="DY359" s="36"/>
    </row>
    <row r="360" spans="84:129" ht="9" customHeight="1" x14ac:dyDescent="0.2">
      <c r="CF360" s="36"/>
      <c r="CG360" s="36"/>
      <c r="CH360" s="36"/>
      <c r="CI360" s="36"/>
      <c r="CJ360" s="36"/>
      <c r="CK360" s="36"/>
      <c r="CL360" s="36"/>
      <c r="CM360" s="37"/>
      <c r="CN360" s="36"/>
      <c r="CO360" s="36"/>
      <c r="CP360" s="36"/>
      <c r="CQ360" s="36"/>
      <c r="CR360" s="36"/>
      <c r="CS360" s="36"/>
      <c r="CT360" s="36"/>
      <c r="CU360" s="36"/>
      <c r="CV360" s="36"/>
      <c r="CW360" s="36"/>
      <c r="CX360" s="36"/>
      <c r="CY360" s="36"/>
      <c r="CZ360" s="36"/>
      <c r="DA360" s="36"/>
      <c r="DB360" s="36"/>
      <c r="DC360" s="36"/>
      <c r="DD360" s="36"/>
      <c r="DE360" s="36"/>
      <c r="DF360" s="36"/>
      <c r="DG360" s="36"/>
      <c r="DH360" s="36"/>
      <c r="DI360" s="36"/>
      <c r="DJ360" s="36"/>
      <c r="DK360" s="36"/>
      <c r="DL360" s="36"/>
      <c r="DM360" s="36"/>
      <c r="DN360" s="36"/>
      <c r="DO360" s="36"/>
      <c r="DP360" s="36"/>
      <c r="DQ360" s="36"/>
      <c r="DR360" s="36"/>
      <c r="DS360" s="36"/>
      <c r="DT360" s="36"/>
      <c r="DU360" s="36"/>
      <c r="DV360" s="36"/>
      <c r="DW360" s="36"/>
      <c r="DX360" s="36"/>
      <c r="DY360" s="36"/>
    </row>
    <row r="361" spans="84:129" ht="9" customHeight="1" x14ac:dyDescent="0.2">
      <c r="CF361" s="36"/>
      <c r="CG361" s="36"/>
      <c r="CH361" s="36"/>
      <c r="CI361" s="36"/>
      <c r="CJ361" s="36"/>
      <c r="CK361" s="36"/>
      <c r="CL361" s="36"/>
      <c r="CM361" s="37"/>
      <c r="CN361" s="36"/>
      <c r="CO361" s="36"/>
      <c r="CP361" s="36"/>
      <c r="CQ361" s="36"/>
      <c r="CR361" s="36"/>
      <c r="CS361" s="36"/>
      <c r="CT361" s="36"/>
      <c r="CU361" s="36"/>
      <c r="CV361" s="36"/>
      <c r="CW361" s="36"/>
      <c r="CX361" s="36"/>
      <c r="CY361" s="36"/>
      <c r="CZ361" s="36"/>
      <c r="DA361" s="36"/>
      <c r="DB361" s="36"/>
      <c r="DC361" s="36"/>
      <c r="DD361" s="36"/>
      <c r="DE361" s="36"/>
      <c r="DF361" s="36"/>
      <c r="DG361" s="36"/>
      <c r="DH361" s="36"/>
      <c r="DI361" s="36"/>
      <c r="DJ361" s="36"/>
      <c r="DK361" s="36"/>
      <c r="DL361" s="36"/>
      <c r="DM361" s="36"/>
      <c r="DN361" s="36"/>
      <c r="DO361" s="36"/>
      <c r="DP361" s="36"/>
      <c r="DQ361" s="36"/>
      <c r="DR361" s="36"/>
      <c r="DS361" s="36"/>
      <c r="DT361" s="36"/>
      <c r="DU361" s="36"/>
      <c r="DV361" s="36"/>
      <c r="DW361" s="36"/>
      <c r="DX361" s="36"/>
      <c r="DY361" s="36"/>
    </row>
    <row r="362" spans="84:129" ht="9" customHeight="1" x14ac:dyDescent="0.2">
      <c r="CF362" s="36"/>
      <c r="CG362" s="36"/>
      <c r="CH362" s="36"/>
      <c r="CI362" s="36"/>
      <c r="CJ362" s="36"/>
      <c r="CK362" s="36"/>
      <c r="CL362" s="36"/>
      <c r="CM362" s="37"/>
      <c r="CN362" s="36"/>
      <c r="CO362" s="36"/>
      <c r="CP362" s="36"/>
      <c r="CQ362" s="36"/>
      <c r="CR362" s="36"/>
      <c r="CS362" s="36"/>
      <c r="CT362" s="36"/>
      <c r="CU362" s="36"/>
      <c r="CV362" s="36"/>
      <c r="CW362" s="36"/>
      <c r="CX362" s="36"/>
      <c r="CY362" s="36"/>
      <c r="CZ362" s="36"/>
      <c r="DA362" s="36"/>
      <c r="DB362" s="36"/>
      <c r="DC362" s="36"/>
      <c r="DD362" s="36"/>
      <c r="DE362" s="36"/>
      <c r="DF362" s="36"/>
      <c r="DG362" s="36"/>
      <c r="DH362" s="36"/>
      <c r="DI362" s="36"/>
      <c r="DJ362" s="36"/>
      <c r="DK362" s="36"/>
      <c r="DL362" s="36"/>
      <c r="DM362" s="36"/>
      <c r="DN362" s="36"/>
      <c r="DO362" s="36"/>
      <c r="DP362" s="36"/>
      <c r="DQ362" s="36"/>
      <c r="DR362" s="36"/>
      <c r="DS362" s="36"/>
      <c r="DT362" s="36"/>
      <c r="DU362" s="36"/>
      <c r="DV362" s="36"/>
      <c r="DW362" s="36"/>
      <c r="DX362" s="36"/>
      <c r="DY362" s="36"/>
    </row>
    <row r="363" spans="84:129" ht="9" customHeight="1" x14ac:dyDescent="0.2">
      <c r="CF363" s="36"/>
      <c r="CG363" s="36"/>
      <c r="CH363" s="36"/>
      <c r="CI363" s="36"/>
      <c r="CJ363" s="36"/>
      <c r="CK363" s="36"/>
      <c r="CL363" s="36"/>
      <c r="CM363" s="37"/>
      <c r="CN363" s="36"/>
      <c r="CO363" s="36"/>
      <c r="CP363" s="36"/>
      <c r="CQ363" s="36"/>
      <c r="CR363" s="36"/>
      <c r="CS363" s="36"/>
      <c r="CT363" s="36"/>
      <c r="CU363" s="36"/>
      <c r="CV363" s="36"/>
      <c r="CW363" s="36"/>
      <c r="CX363" s="36"/>
      <c r="CY363" s="36"/>
      <c r="CZ363" s="36"/>
      <c r="DA363" s="36"/>
      <c r="DB363" s="36"/>
      <c r="DC363" s="36"/>
      <c r="DD363" s="36"/>
      <c r="DE363" s="36"/>
      <c r="DF363" s="36"/>
      <c r="DG363" s="36"/>
      <c r="DH363" s="36"/>
      <c r="DI363" s="36"/>
      <c r="DJ363" s="36"/>
      <c r="DK363" s="36"/>
      <c r="DL363" s="36"/>
      <c r="DM363" s="36"/>
      <c r="DN363" s="36"/>
      <c r="DO363" s="36"/>
      <c r="DP363" s="36"/>
      <c r="DQ363" s="36"/>
      <c r="DR363" s="36"/>
      <c r="DS363" s="36"/>
      <c r="DT363" s="36"/>
      <c r="DU363" s="36"/>
      <c r="DV363" s="36"/>
      <c r="DW363" s="36"/>
      <c r="DX363" s="36"/>
      <c r="DY363" s="36"/>
    </row>
    <row r="364" spans="84:129" ht="9" customHeight="1" x14ac:dyDescent="0.2">
      <c r="CF364" s="36"/>
      <c r="CG364" s="36"/>
      <c r="CH364" s="36"/>
      <c r="CI364" s="36"/>
      <c r="CJ364" s="36"/>
      <c r="CK364" s="36"/>
      <c r="CL364" s="36"/>
      <c r="CM364" s="37"/>
      <c r="CN364" s="36"/>
      <c r="CO364" s="36"/>
      <c r="CP364" s="36"/>
      <c r="CQ364" s="36"/>
      <c r="CR364" s="36"/>
      <c r="CS364" s="36"/>
      <c r="CT364" s="36"/>
      <c r="CU364" s="36"/>
      <c r="CV364" s="36"/>
      <c r="CW364" s="36"/>
      <c r="CX364" s="36"/>
      <c r="CY364" s="36"/>
      <c r="CZ364" s="36"/>
      <c r="DA364" s="36"/>
      <c r="DB364" s="36"/>
      <c r="DC364" s="36"/>
      <c r="DD364" s="36"/>
      <c r="DE364" s="36"/>
      <c r="DF364" s="36"/>
      <c r="DG364" s="36"/>
      <c r="DH364" s="36"/>
      <c r="DI364" s="36"/>
      <c r="DJ364" s="36"/>
      <c r="DK364" s="36"/>
      <c r="DL364" s="36"/>
      <c r="DM364" s="36"/>
      <c r="DN364" s="36"/>
      <c r="DO364" s="36"/>
      <c r="DP364" s="36"/>
      <c r="DQ364" s="36"/>
      <c r="DR364" s="36"/>
      <c r="DS364" s="36"/>
      <c r="DT364" s="36"/>
      <c r="DU364" s="36"/>
      <c r="DV364" s="36"/>
      <c r="DW364" s="36"/>
      <c r="DX364" s="36"/>
      <c r="DY364" s="36"/>
    </row>
    <row r="365" spans="84:129" ht="9" customHeight="1" x14ac:dyDescent="0.2">
      <c r="CF365" s="36"/>
      <c r="CG365" s="36"/>
      <c r="CH365" s="36"/>
      <c r="CI365" s="36"/>
      <c r="CJ365" s="36"/>
      <c r="CK365" s="36"/>
      <c r="CL365" s="36"/>
      <c r="CM365" s="37"/>
      <c r="CN365" s="36"/>
      <c r="CO365" s="36"/>
      <c r="CP365" s="36"/>
      <c r="CQ365" s="36"/>
      <c r="CR365" s="36"/>
      <c r="CS365" s="36"/>
      <c r="CT365" s="36"/>
      <c r="CU365" s="36"/>
      <c r="CV365" s="36"/>
      <c r="CW365" s="36"/>
      <c r="CX365" s="36"/>
      <c r="CY365" s="36"/>
      <c r="CZ365" s="36"/>
      <c r="DA365" s="36"/>
      <c r="DB365" s="36"/>
      <c r="DC365" s="36"/>
      <c r="DD365" s="36"/>
      <c r="DE365" s="36"/>
      <c r="DF365" s="36"/>
      <c r="DG365" s="36"/>
      <c r="DH365" s="36"/>
      <c r="DI365" s="36"/>
      <c r="DJ365" s="36"/>
      <c r="DK365" s="36"/>
      <c r="DL365" s="36"/>
      <c r="DM365" s="36"/>
      <c r="DN365" s="36"/>
      <c r="DO365" s="36"/>
      <c r="DP365" s="36"/>
      <c r="DQ365" s="36"/>
      <c r="DR365" s="36"/>
      <c r="DS365" s="36"/>
      <c r="DT365" s="36"/>
      <c r="DU365" s="36"/>
      <c r="DV365" s="36"/>
      <c r="DW365" s="36"/>
      <c r="DX365" s="36"/>
      <c r="DY365" s="36"/>
    </row>
    <row r="366" spans="84:129" ht="9" customHeight="1" x14ac:dyDescent="0.2">
      <c r="CF366" s="36"/>
      <c r="CG366" s="36"/>
      <c r="CH366" s="36"/>
      <c r="CI366" s="36"/>
      <c r="CJ366" s="36"/>
      <c r="CK366" s="36"/>
      <c r="CL366" s="36"/>
      <c r="CM366" s="37"/>
      <c r="CN366" s="36"/>
      <c r="CO366" s="36"/>
      <c r="CP366" s="36"/>
      <c r="CQ366" s="36"/>
      <c r="CR366" s="36"/>
      <c r="CS366" s="36"/>
      <c r="CT366" s="36"/>
      <c r="CU366" s="36"/>
      <c r="CV366" s="36"/>
      <c r="CW366" s="36"/>
      <c r="CX366" s="36"/>
      <c r="CY366" s="36"/>
      <c r="CZ366" s="36"/>
      <c r="DA366" s="36"/>
      <c r="DB366" s="36"/>
      <c r="DC366" s="36"/>
      <c r="DD366" s="36"/>
      <c r="DE366" s="36"/>
      <c r="DF366" s="36"/>
      <c r="DG366" s="36"/>
      <c r="DH366" s="36"/>
      <c r="DI366" s="36"/>
      <c r="DJ366" s="36"/>
      <c r="DK366" s="36"/>
      <c r="DL366" s="36"/>
      <c r="DM366" s="36"/>
      <c r="DN366" s="36"/>
      <c r="DO366" s="36"/>
      <c r="DP366" s="36"/>
      <c r="DQ366" s="36"/>
      <c r="DR366" s="36"/>
      <c r="DS366" s="36"/>
      <c r="DT366" s="36"/>
      <c r="DU366" s="36"/>
      <c r="DV366" s="36"/>
      <c r="DW366" s="36"/>
      <c r="DX366" s="36"/>
      <c r="DY366" s="36"/>
    </row>
    <row r="367" spans="84:129" ht="9" customHeight="1" x14ac:dyDescent="0.2">
      <c r="CF367" s="36"/>
      <c r="CG367" s="36"/>
      <c r="CH367" s="36"/>
      <c r="CI367" s="36"/>
      <c r="CJ367" s="36"/>
      <c r="CK367" s="36"/>
      <c r="CL367" s="36"/>
      <c r="CM367" s="37"/>
      <c r="CN367" s="36"/>
      <c r="CO367" s="36"/>
      <c r="CP367" s="36"/>
      <c r="CQ367" s="36"/>
      <c r="CR367" s="36"/>
      <c r="CS367" s="36"/>
      <c r="CT367" s="36"/>
      <c r="CU367" s="36"/>
      <c r="CV367" s="36"/>
      <c r="CW367" s="36"/>
      <c r="CX367" s="36"/>
      <c r="CY367" s="36"/>
      <c r="CZ367" s="36"/>
      <c r="DA367" s="36"/>
      <c r="DB367" s="36"/>
      <c r="DC367" s="36"/>
      <c r="DD367" s="36"/>
      <c r="DE367" s="36"/>
      <c r="DF367" s="36"/>
      <c r="DG367" s="36"/>
      <c r="DH367" s="36"/>
      <c r="DI367" s="36"/>
      <c r="DJ367" s="36"/>
      <c r="DK367" s="36"/>
      <c r="DL367" s="36"/>
      <c r="DM367" s="36"/>
      <c r="DN367" s="36"/>
      <c r="DO367" s="36"/>
      <c r="DP367" s="36"/>
      <c r="DQ367" s="36"/>
      <c r="DR367" s="36"/>
      <c r="DS367" s="36"/>
      <c r="DT367" s="36"/>
      <c r="DU367" s="36"/>
      <c r="DV367" s="36"/>
      <c r="DW367" s="36"/>
      <c r="DX367" s="36"/>
      <c r="DY367" s="36"/>
    </row>
    <row r="368" spans="84:129" ht="9" customHeight="1" x14ac:dyDescent="0.2">
      <c r="CF368" s="36"/>
      <c r="CG368" s="36"/>
      <c r="CH368" s="36"/>
      <c r="CI368" s="36"/>
      <c r="CJ368" s="36"/>
      <c r="CK368" s="36"/>
      <c r="CL368" s="36"/>
      <c r="CM368" s="37"/>
      <c r="CN368" s="36"/>
      <c r="CO368" s="36"/>
      <c r="CP368" s="36"/>
      <c r="CQ368" s="36"/>
      <c r="CR368" s="36"/>
      <c r="CS368" s="36"/>
      <c r="CT368" s="36"/>
      <c r="CU368" s="36"/>
      <c r="CV368" s="36"/>
      <c r="CW368" s="36"/>
      <c r="CX368" s="36"/>
      <c r="CY368" s="36"/>
      <c r="CZ368" s="36"/>
      <c r="DA368" s="36"/>
      <c r="DB368" s="36"/>
      <c r="DC368" s="36"/>
      <c r="DD368" s="36"/>
      <c r="DE368" s="36"/>
      <c r="DF368" s="36"/>
      <c r="DG368" s="36"/>
      <c r="DH368" s="36"/>
      <c r="DI368" s="36"/>
      <c r="DJ368" s="36"/>
      <c r="DK368" s="36"/>
      <c r="DL368" s="36"/>
      <c r="DM368" s="36"/>
      <c r="DN368" s="36"/>
      <c r="DO368" s="36"/>
      <c r="DP368" s="36"/>
      <c r="DQ368" s="36"/>
      <c r="DR368" s="36"/>
      <c r="DS368" s="36"/>
      <c r="DT368" s="36"/>
      <c r="DU368" s="36"/>
      <c r="DV368" s="36"/>
      <c r="DW368" s="36"/>
      <c r="DX368" s="36"/>
      <c r="DY368" s="36"/>
    </row>
    <row r="369" spans="84:129" ht="9" customHeight="1" x14ac:dyDescent="0.2">
      <c r="CF369" s="36"/>
      <c r="CG369" s="36"/>
      <c r="CH369" s="36"/>
      <c r="CI369" s="36"/>
      <c r="CJ369" s="36"/>
      <c r="CK369" s="36"/>
      <c r="CL369" s="36"/>
      <c r="CM369" s="37"/>
      <c r="CN369" s="36"/>
      <c r="CO369" s="36"/>
      <c r="CP369" s="36"/>
      <c r="CQ369" s="36"/>
      <c r="CR369" s="36"/>
      <c r="CS369" s="36"/>
      <c r="CT369" s="36"/>
      <c r="CU369" s="36"/>
      <c r="CV369" s="36"/>
      <c r="CW369" s="36"/>
      <c r="CX369" s="36"/>
      <c r="CY369" s="36"/>
      <c r="CZ369" s="36"/>
      <c r="DA369" s="36"/>
      <c r="DB369" s="36"/>
      <c r="DC369" s="36"/>
      <c r="DD369" s="36"/>
      <c r="DE369" s="36"/>
      <c r="DF369" s="36"/>
      <c r="DG369" s="36"/>
      <c r="DH369" s="36"/>
      <c r="DI369" s="36"/>
      <c r="DJ369" s="36"/>
      <c r="DK369" s="36"/>
      <c r="DL369" s="36"/>
      <c r="DM369" s="36"/>
      <c r="DN369" s="36"/>
      <c r="DO369" s="36"/>
      <c r="DP369" s="36"/>
      <c r="DQ369" s="36"/>
      <c r="DR369" s="36"/>
      <c r="DS369" s="36"/>
      <c r="DT369" s="36"/>
      <c r="DU369" s="36"/>
      <c r="DV369" s="36"/>
      <c r="DW369" s="36"/>
      <c r="DX369" s="36"/>
      <c r="DY369" s="36"/>
    </row>
    <row r="370" spans="84:129" ht="9" customHeight="1" x14ac:dyDescent="0.2">
      <c r="CF370" s="36"/>
      <c r="CG370" s="36"/>
      <c r="CH370" s="36"/>
      <c r="CI370" s="36"/>
      <c r="CJ370" s="36"/>
      <c r="CK370" s="36"/>
      <c r="CL370" s="36"/>
      <c r="CM370" s="37"/>
      <c r="CN370" s="36"/>
      <c r="CO370" s="36"/>
      <c r="CP370" s="36"/>
      <c r="CQ370" s="36"/>
      <c r="CR370" s="36"/>
      <c r="CS370" s="36"/>
      <c r="CT370" s="36"/>
      <c r="CU370" s="36"/>
      <c r="CV370" s="36"/>
      <c r="CW370" s="36"/>
      <c r="CX370" s="36"/>
      <c r="CY370" s="36"/>
      <c r="CZ370" s="36"/>
      <c r="DA370" s="36"/>
      <c r="DB370" s="36"/>
      <c r="DC370" s="36"/>
      <c r="DD370" s="36"/>
      <c r="DE370" s="36"/>
      <c r="DF370" s="36"/>
      <c r="DG370" s="36"/>
      <c r="DH370" s="36"/>
      <c r="DI370" s="36"/>
      <c r="DJ370" s="36"/>
      <c r="DK370" s="36"/>
      <c r="DL370" s="36"/>
      <c r="DM370" s="36"/>
      <c r="DN370" s="36"/>
      <c r="DO370" s="36"/>
      <c r="DP370" s="36"/>
      <c r="DQ370" s="36"/>
      <c r="DR370" s="36"/>
      <c r="DS370" s="36"/>
      <c r="DT370" s="36"/>
      <c r="DU370" s="36"/>
      <c r="DV370" s="36"/>
      <c r="DW370" s="36"/>
      <c r="DX370" s="36"/>
      <c r="DY370" s="36"/>
    </row>
    <row r="371" spans="84:129" ht="9" customHeight="1" x14ac:dyDescent="0.2">
      <c r="CF371" s="36"/>
      <c r="CG371" s="36"/>
      <c r="CH371" s="36"/>
      <c r="CI371" s="36"/>
      <c r="CJ371" s="36"/>
      <c r="CK371" s="36"/>
      <c r="CL371" s="36"/>
      <c r="CM371" s="37"/>
      <c r="CN371" s="36"/>
      <c r="CO371" s="36"/>
      <c r="CP371" s="36"/>
      <c r="CQ371" s="36"/>
      <c r="CR371" s="36"/>
      <c r="CS371" s="36"/>
      <c r="CT371" s="36"/>
      <c r="CU371" s="36"/>
      <c r="CV371" s="36"/>
      <c r="CW371" s="36"/>
      <c r="CX371" s="36"/>
      <c r="CY371" s="36"/>
      <c r="CZ371" s="36"/>
      <c r="DA371" s="36"/>
      <c r="DB371" s="36"/>
      <c r="DC371" s="36"/>
      <c r="DD371" s="36"/>
      <c r="DE371" s="36"/>
      <c r="DF371" s="36"/>
      <c r="DG371" s="36"/>
      <c r="DH371" s="36"/>
      <c r="DI371" s="36"/>
      <c r="DJ371" s="36"/>
      <c r="DK371" s="36"/>
      <c r="DL371" s="36"/>
      <c r="DM371" s="36"/>
      <c r="DN371" s="36"/>
      <c r="DO371" s="36"/>
      <c r="DP371" s="36"/>
      <c r="DQ371" s="36"/>
      <c r="DR371" s="36"/>
      <c r="DS371" s="36"/>
      <c r="DT371" s="36"/>
      <c r="DU371" s="36"/>
      <c r="DV371" s="36"/>
      <c r="DW371" s="36"/>
      <c r="DX371" s="36"/>
      <c r="DY371" s="36"/>
    </row>
    <row r="372" spans="84:129" ht="9" customHeight="1" x14ac:dyDescent="0.2">
      <c r="CF372" s="36"/>
      <c r="CG372" s="36"/>
      <c r="CH372" s="36"/>
      <c r="CI372" s="36"/>
      <c r="CJ372" s="36"/>
      <c r="CK372" s="36"/>
      <c r="CL372" s="36"/>
      <c r="CM372" s="37"/>
      <c r="CN372" s="36"/>
      <c r="CO372" s="36"/>
      <c r="CP372" s="36"/>
      <c r="CQ372" s="36"/>
      <c r="CR372" s="36"/>
      <c r="CS372" s="36"/>
      <c r="CT372" s="36"/>
      <c r="CU372" s="36"/>
      <c r="CV372" s="36"/>
      <c r="CW372" s="36"/>
      <c r="CX372" s="36"/>
      <c r="CY372" s="36"/>
      <c r="CZ372" s="36"/>
      <c r="DA372" s="36"/>
      <c r="DB372" s="36"/>
      <c r="DC372" s="36"/>
      <c r="DD372" s="36"/>
      <c r="DE372" s="36"/>
      <c r="DF372" s="36"/>
      <c r="DG372" s="36"/>
      <c r="DH372" s="36"/>
      <c r="DI372" s="36"/>
      <c r="DJ372" s="36"/>
      <c r="DK372" s="36"/>
      <c r="DL372" s="36"/>
      <c r="DM372" s="36"/>
      <c r="DN372" s="36"/>
      <c r="DO372" s="36"/>
      <c r="DP372" s="36"/>
      <c r="DQ372" s="36"/>
      <c r="DR372" s="36"/>
      <c r="DS372" s="36"/>
      <c r="DT372" s="36"/>
      <c r="DU372" s="36"/>
      <c r="DV372" s="36"/>
      <c r="DW372" s="36"/>
      <c r="DX372" s="36"/>
      <c r="DY372" s="36"/>
    </row>
    <row r="373" spans="84:129" ht="9" customHeight="1" x14ac:dyDescent="0.2">
      <c r="CF373" s="36"/>
      <c r="CG373" s="36"/>
      <c r="CH373" s="36"/>
      <c r="CI373" s="36"/>
      <c r="CJ373" s="36"/>
      <c r="CK373" s="36"/>
      <c r="CL373" s="36"/>
      <c r="CM373" s="37"/>
      <c r="CN373" s="36"/>
      <c r="CO373" s="36"/>
      <c r="CP373" s="36"/>
      <c r="CQ373" s="36"/>
      <c r="CR373" s="36"/>
      <c r="CS373" s="36"/>
      <c r="CT373" s="36"/>
      <c r="CU373" s="36"/>
      <c r="CV373" s="36"/>
      <c r="CW373" s="36"/>
      <c r="CX373" s="36"/>
      <c r="CY373" s="36"/>
      <c r="CZ373" s="36"/>
      <c r="DA373" s="36"/>
      <c r="DB373" s="36"/>
      <c r="DC373" s="36"/>
      <c r="DD373" s="36"/>
      <c r="DE373" s="36"/>
      <c r="DF373" s="36"/>
      <c r="DG373" s="36"/>
      <c r="DH373" s="36"/>
      <c r="DI373" s="36"/>
      <c r="DJ373" s="36"/>
      <c r="DK373" s="36"/>
      <c r="DL373" s="36"/>
      <c r="DM373" s="36"/>
      <c r="DN373" s="36"/>
      <c r="DO373" s="36"/>
      <c r="DP373" s="36"/>
      <c r="DQ373" s="36"/>
      <c r="DR373" s="36"/>
      <c r="DS373" s="36"/>
      <c r="DT373" s="36"/>
      <c r="DU373" s="36"/>
      <c r="DV373" s="36"/>
      <c r="DW373" s="36"/>
      <c r="DX373" s="36"/>
      <c r="DY373" s="36"/>
    </row>
    <row r="374" spans="84:129" ht="9" customHeight="1" x14ac:dyDescent="0.2">
      <c r="CF374" s="36"/>
      <c r="CG374" s="36"/>
      <c r="CH374" s="36"/>
      <c r="CI374" s="36"/>
      <c r="CJ374" s="36"/>
      <c r="CK374" s="36"/>
      <c r="CL374" s="36"/>
      <c r="CM374" s="37"/>
      <c r="CN374" s="36"/>
      <c r="CO374" s="36"/>
      <c r="CP374" s="36"/>
      <c r="CQ374" s="36"/>
      <c r="CR374" s="36"/>
      <c r="CS374" s="36"/>
      <c r="CT374" s="36"/>
      <c r="CU374" s="36"/>
      <c r="CV374" s="36"/>
      <c r="CW374" s="36"/>
      <c r="CX374" s="36"/>
      <c r="CY374" s="36"/>
      <c r="CZ374" s="36"/>
      <c r="DA374" s="36"/>
      <c r="DB374" s="36"/>
      <c r="DC374" s="36"/>
      <c r="DD374" s="36"/>
      <c r="DE374" s="36"/>
      <c r="DF374" s="36"/>
      <c r="DG374" s="36"/>
      <c r="DH374" s="36"/>
      <c r="DI374" s="36"/>
      <c r="DJ374" s="36"/>
      <c r="DK374" s="36"/>
      <c r="DL374" s="36"/>
      <c r="DM374" s="36"/>
      <c r="DN374" s="36"/>
      <c r="DO374" s="36"/>
      <c r="DP374" s="36"/>
      <c r="DQ374" s="36"/>
      <c r="DR374" s="36"/>
      <c r="DS374" s="36"/>
      <c r="DT374" s="36"/>
      <c r="DU374" s="36"/>
      <c r="DV374" s="36"/>
      <c r="DW374" s="36"/>
      <c r="DX374" s="36"/>
      <c r="DY374" s="36"/>
    </row>
    <row r="375" spans="84:129" ht="9" customHeight="1" x14ac:dyDescent="0.2">
      <c r="CF375" s="36"/>
      <c r="CG375" s="36"/>
      <c r="CH375" s="36"/>
      <c r="CI375" s="36"/>
      <c r="CJ375" s="36"/>
      <c r="CK375" s="36"/>
      <c r="CL375" s="36"/>
      <c r="CM375" s="37"/>
      <c r="CN375" s="36"/>
      <c r="CO375" s="36"/>
      <c r="CP375" s="36"/>
      <c r="CQ375" s="36"/>
      <c r="CR375" s="36"/>
      <c r="CS375" s="36"/>
      <c r="CT375" s="36"/>
      <c r="CU375" s="36"/>
      <c r="CV375" s="36"/>
      <c r="CW375" s="36"/>
      <c r="CX375" s="36"/>
      <c r="CY375" s="36"/>
      <c r="CZ375" s="36"/>
      <c r="DA375" s="36"/>
      <c r="DB375" s="36"/>
      <c r="DC375" s="36"/>
      <c r="DD375" s="36"/>
      <c r="DE375" s="36"/>
      <c r="DF375" s="36"/>
      <c r="DG375" s="36"/>
      <c r="DH375" s="36"/>
      <c r="DI375" s="36"/>
      <c r="DJ375" s="36"/>
      <c r="DK375" s="36"/>
      <c r="DL375" s="36"/>
      <c r="DM375" s="36"/>
      <c r="DN375" s="36"/>
      <c r="DO375" s="36"/>
      <c r="DP375" s="36"/>
      <c r="DQ375" s="36"/>
      <c r="DR375" s="36"/>
      <c r="DS375" s="36"/>
      <c r="DT375" s="36"/>
      <c r="DU375" s="36"/>
      <c r="DV375" s="36"/>
      <c r="DW375" s="36"/>
      <c r="DX375" s="36"/>
      <c r="DY375" s="36"/>
    </row>
    <row r="376" spans="84:129" ht="9" customHeight="1" x14ac:dyDescent="0.2">
      <c r="CF376" s="36"/>
      <c r="CG376" s="36"/>
      <c r="CH376" s="36"/>
      <c r="CI376" s="36"/>
      <c r="CJ376" s="36"/>
      <c r="CK376" s="36"/>
      <c r="CL376" s="36"/>
      <c r="CM376" s="37"/>
      <c r="CN376" s="36"/>
      <c r="CO376" s="36"/>
      <c r="CP376" s="36"/>
      <c r="CQ376" s="36"/>
      <c r="CR376" s="36"/>
      <c r="CS376" s="36"/>
      <c r="CT376" s="36"/>
      <c r="CU376" s="36"/>
      <c r="CV376" s="36"/>
      <c r="CW376" s="36"/>
      <c r="CX376" s="36"/>
      <c r="CY376" s="36"/>
      <c r="CZ376" s="36"/>
      <c r="DA376" s="36"/>
      <c r="DB376" s="36"/>
      <c r="DC376" s="36"/>
      <c r="DD376" s="36"/>
      <c r="DE376" s="36"/>
      <c r="DF376" s="36"/>
      <c r="DG376" s="36"/>
      <c r="DH376" s="36"/>
      <c r="DI376" s="36"/>
      <c r="DJ376" s="36"/>
      <c r="DK376" s="36"/>
      <c r="DL376" s="36"/>
      <c r="DM376" s="36"/>
      <c r="DN376" s="36"/>
      <c r="DO376" s="36"/>
      <c r="DP376" s="36"/>
      <c r="DQ376" s="36"/>
      <c r="DR376" s="36"/>
      <c r="DS376" s="36"/>
      <c r="DT376" s="36"/>
      <c r="DU376" s="36"/>
      <c r="DV376" s="36"/>
      <c r="DW376" s="36"/>
      <c r="DX376" s="36"/>
      <c r="DY376" s="36"/>
    </row>
    <row r="377" spans="84:129" ht="9" customHeight="1" x14ac:dyDescent="0.2">
      <c r="CF377" s="36"/>
      <c r="CG377" s="36"/>
      <c r="CH377" s="36"/>
      <c r="CI377" s="36"/>
      <c r="CJ377" s="36"/>
      <c r="CK377" s="36"/>
      <c r="CL377" s="36"/>
      <c r="CM377" s="37"/>
      <c r="CN377" s="36"/>
      <c r="CO377" s="36"/>
      <c r="CP377" s="36"/>
      <c r="CQ377" s="36"/>
      <c r="CR377" s="36"/>
      <c r="CS377" s="36"/>
      <c r="CT377" s="36"/>
      <c r="CU377" s="36"/>
      <c r="CV377" s="36"/>
      <c r="CW377" s="36"/>
      <c r="CX377" s="36"/>
      <c r="CY377" s="36"/>
      <c r="CZ377" s="36"/>
      <c r="DA377" s="36"/>
      <c r="DB377" s="36"/>
      <c r="DC377" s="36"/>
      <c r="DD377" s="36"/>
      <c r="DE377" s="36"/>
      <c r="DF377" s="36"/>
      <c r="DG377" s="36"/>
      <c r="DH377" s="36"/>
      <c r="DI377" s="36"/>
      <c r="DJ377" s="36"/>
      <c r="DK377" s="36"/>
      <c r="DL377" s="36"/>
      <c r="DM377" s="36"/>
      <c r="DN377" s="36"/>
      <c r="DO377" s="36"/>
      <c r="DP377" s="36"/>
      <c r="DQ377" s="36"/>
      <c r="DR377" s="36"/>
      <c r="DS377" s="36"/>
      <c r="DT377" s="36"/>
      <c r="DU377" s="36"/>
      <c r="DV377" s="36"/>
      <c r="DW377" s="36"/>
      <c r="DX377" s="36"/>
      <c r="DY377" s="36"/>
    </row>
    <row r="378" spans="84:129" ht="9" customHeight="1" x14ac:dyDescent="0.2">
      <c r="CF378" s="36"/>
      <c r="CG378" s="36"/>
      <c r="CH378" s="36"/>
      <c r="CI378" s="36"/>
      <c r="CJ378" s="36"/>
      <c r="CK378" s="36"/>
      <c r="CL378" s="36"/>
      <c r="CM378" s="37"/>
      <c r="CN378" s="36"/>
      <c r="CO378" s="36"/>
      <c r="CP378" s="36"/>
      <c r="CQ378" s="36"/>
      <c r="CR378" s="36"/>
      <c r="CS378" s="36"/>
      <c r="CT378" s="36"/>
      <c r="CU378" s="36"/>
      <c r="CV378" s="36"/>
      <c r="CW378" s="36"/>
      <c r="CX378" s="36"/>
      <c r="CY378" s="36"/>
      <c r="CZ378" s="36"/>
      <c r="DA378" s="36"/>
      <c r="DB378" s="36"/>
      <c r="DC378" s="36"/>
      <c r="DD378" s="36"/>
      <c r="DE378" s="36"/>
      <c r="DF378" s="36"/>
      <c r="DG378" s="36"/>
      <c r="DH378" s="36"/>
      <c r="DI378" s="36"/>
      <c r="DJ378" s="36"/>
      <c r="DK378" s="36"/>
      <c r="DL378" s="36"/>
      <c r="DM378" s="36"/>
      <c r="DN378" s="36"/>
      <c r="DO378" s="36"/>
      <c r="DP378" s="36"/>
      <c r="DQ378" s="36"/>
      <c r="DR378" s="36"/>
      <c r="DS378" s="36"/>
      <c r="DT378" s="36"/>
      <c r="DU378" s="36"/>
      <c r="DV378" s="36"/>
      <c r="DW378" s="36"/>
      <c r="DX378" s="36"/>
      <c r="DY378" s="36"/>
    </row>
    <row r="379" spans="84:129" ht="9" customHeight="1" x14ac:dyDescent="0.2">
      <c r="CF379" s="36"/>
      <c r="CG379" s="36"/>
      <c r="CH379" s="36"/>
      <c r="CI379" s="36"/>
      <c r="CJ379" s="36"/>
      <c r="CK379" s="36"/>
      <c r="CL379" s="36"/>
      <c r="CM379" s="37"/>
      <c r="CN379" s="36"/>
      <c r="CO379" s="36"/>
      <c r="CP379" s="36"/>
      <c r="CQ379" s="36"/>
      <c r="CR379" s="36"/>
      <c r="CS379" s="36"/>
      <c r="CT379" s="36"/>
      <c r="CU379" s="36"/>
      <c r="CV379" s="36"/>
      <c r="CW379" s="36"/>
      <c r="CX379" s="36"/>
      <c r="CY379" s="36"/>
      <c r="CZ379" s="36"/>
      <c r="DA379" s="36"/>
      <c r="DB379" s="36"/>
      <c r="DC379" s="36"/>
      <c r="DD379" s="36"/>
      <c r="DE379" s="36"/>
      <c r="DF379" s="36"/>
      <c r="DG379" s="36"/>
      <c r="DH379" s="36"/>
      <c r="DI379" s="36"/>
      <c r="DJ379" s="36"/>
      <c r="DK379" s="36"/>
      <c r="DL379" s="36"/>
      <c r="DM379" s="36"/>
      <c r="DN379" s="36"/>
      <c r="DO379" s="36"/>
      <c r="DP379" s="36"/>
      <c r="DQ379" s="36"/>
      <c r="DR379" s="36"/>
      <c r="DS379" s="36"/>
      <c r="DT379" s="36"/>
      <c r="DU379" s="36"/>
      <c r="DV379" s="36"/>
      <c r="DW379" s="36"/>
      <c r="DX379" s="36"/>
      <c r="DY379" s="36"/>
    </row>
    <row r="380" spans="84:129" ht="9" customHeight="1" x14ac:dyDescent="0.2">
      <c r="CF380" s="36"/>
      <c r="CG380" s="36"/>
      <c r="CH380" s="36"/>
      <c r="CI380" s="36"/>
      <c r="CJ380" s="36"/>
      <c r="CK380" s="36"/>
      <c r="CL380" s="36"/>
      <c r="CM380" s="37"/>
      <c r="CN380" s="36"/>
      <c r="CO380" s="36"/>
      <c r="CP380" s="36"/>
      <c r="CQ380" s="36"/>
      <c r="CR380" s="36"/>
      <c r="CS380" s="36"/>
      <c r="CT380" s="36"/>
      <c r="CU380" s="36"/>
      <c r="CV380" s="36"/>
      <c r="CW380" s="36"/>
      <c r="CX380" s="36"/>
      <c r="CY380" s="36"/>
      <c r="CZ380" s="36"/>
      <c r="DA380" s="36"/>
      <c r="DB380" s="36"/>
      <c r="DC380" s="36"/>
      <c r="DD380" s="36"/>
      <c r="DE380" s="36"/>
      <c r="DF380" s="36"/>
      <c r="DG380" s="36"/>
      <c r="DH380" s="36"/>
      <c r="DI380" s="36"/>
      <c r="DJ380" s="36"/>
      <c r="DK380" s="36"/>
      <c r="DL380" s="36"/>
      <c r="DM380" s="36"/>
      <c r="DN380" s="36"/>
      <c r="DO380" s="36"/>
      <c r="DP380" s="36"/>
      <c r="DQ380" s="36"/>
      <c r="DR380" s="36"/>
      <c r="DS380" s="36"/>
      <c r="DT380" s="36"/>
      <c r="DU380" s="36"/>
      <c r="DV380" s="36"/>
      <c r="DW380" s="36"/>
      <c r="DX380" s="36"/>
      <c r="DY380" s="36"/>
    </row>
    <row r="381" spans="84:129" ht="9" customHeight="1" x14ac:dyDescent="0.2">
      <c r="CF381" s="36"/>
      <c r="CG381" s="36"/>
      <c r="CH381" s="36"/>
      <c r="CI381" s="36"/>
      <c r="CJ381" s="36"/>
      <c r="CK381" s="36"/>
      <c r="CL381" s="36"/>
      <c r="CM381" s="37"/>
      <c r="CN381" s="36"/>
      <c r="CO381" s="36"/>
      <c r="CP381" s="36"/>
      <c r="CQ381" s="36"/>
      <c r="CR381" s="36"/>
      <c r="CS381" s="36"/>
      <c r="CT381" s="36"/>
      <c r="CU381" s="36"/>
      <c r="CV381" s="36"/>
      <c r="CW381" s="36"/>
      <c r="CX381" s="36"/>
      <c r="CY381" s="36"/>
      <c r="CZ381" s="36"/>
      <c r="DA381" s="36"/>
      <c r="DB381" s="36"/>
      <c r="DC381" s="36"/>
      <c r="DD381" s="36"/>
      <c r="DE381" s="36"/>
      <c r="DF381" s="36"/>
      <c r="DG381" s="36"/>
      <c r="DH381" s="36"/>
      <c r="DI381" s="36"/>
      <c r="DJ381" s="36"/>
      <c r="DK381" s="36"/>
      <c r="DL381" s="36"/>
      <c r="DM381" s="36"/>
      <c r="DN381" s="36"/>
      <c r="DO381" s="36"/>
      <c r="DP381" s="36"/>
      <c r="DQ381" s="36"/>
      <c r="DR381" s="36"/>
      <c r="DS381" s="36"/>
      <c r="DT381" s="36"/>
      <c r="DU381" s="36"/>
      <c r="DV381" s="36"/>
      <c r="DW381" s="36"/>
      <c r="DX381" s="36"/>
      <c r="DY381" s="36"/>
    </row>
    <row r="382" spans="84:129" ht="9" customHeight="1" x14ac:dyDescent="0.2">
      <c r="CF382" s="36"/>
      <c r="CG382" s="36"/>
      <c r="CH382" s="36"/>
      <c r="CI382" s="36"/>
      <c r="CJ382" s="36"/>
      <c r="CK382" s="36"/>
      <c r="CL382" s="36"/>
      <c r="CM382" s="37"/>
      <c r="CN382" s="36"/>
      <c r="CO382" s="36"/>
      <c r="CP382" s="36"/>
      <c r="CQ382" s="36"/>
      <c r="CR382" s="36"/>
      <c r="CS382" s="36"/>
      <c r="CT382" s="36"/>
      <c r="CU382" s="36"/>
      <c r="CV382" s="36"/>
      <c r="CW382" s="36"/>
      <c r="CX382" s="36"/>
      <c r="CY382" s="36"/>
      <c r="CZ382" s="36"/>
      <c r="DA382" s="36"/>
      <c r="DB382" s="36"/>
      <c r="DC382" s="36"/>
      <c r="DD382" s="36"/>
      <c r="DE382" s="36"/>
      <c r="DF382" s="36"/>
      <c r="DG382" s="36"/>
      <c r="DH382" s="36"/>
      <c r="DI382" s="36"/>
      <c r="DJ382" s="36"/>
      <c r="DK382" s="36"/>
      <c r="DL382" s="36"/>
      <c r="DM382" s="36"/>
      <c r="DN382" s="36"/>
      <c r="DO382" s="36"/>
      <c r="DP382" s="36"/>
      <c r="DQ382" s="36"/>
      <c r="DR382" s="36"/>
      <c r="DS382" s="36"/>
      <c r="DT382" s="36"/>
      <c r="DU382" s="36"/>
      <c r="DV382" s="36"/>
      <c r="DW382" s="36"/>
      <c r="DX382" s="36"/>
      <c r="DY382" s="36"/>
    </row>
    <row r="383" spans="84:129" ht="9" customHeight="1" x14ac:dyDescent="0.2">
      <c r="CF383" s="36"/>
      <c r="CG383" s="36"/>
      <c r="CH383" s="36"/>
      <c r="CI383" s="36"/>
      <c r="CJ383" s="36"/>
      <c r="CK383" s="36"/>
      <c r="CL383" s="36"/>
      <c r="CM383" s="37"/>
      <c r="CN383" s="36"/>
      <c r="CO383" s="36"/>
      <c r="CP383" s="36"/>
      <c r="CQ383" s="36"/>
      <c r="CR383" s="36"/>
      <c r="CS383" s="36"/>
      <c r="CT383" s="36"/>
      <c r="CU383" s="36"/>
      <c r="CV383" s="36"/>
      <c r="CW383" s="36"/>
      <c r="CX383" s="36"/>
      <c r="CY383" s="36"/>
      <c r="CZ383" s="36"/>
      <c r="DA383" s="36"/>
      <c r="DB383" s="36"/>
      <c r="DC383" s="36"/>
      <c r="DD383" s="36"/>
      <c r="DE383" s="36"/>
      <c r="DF383" s="36"/>
      <c r="DG383" s="36"/>
      <c r="DH383" s="36"/>
      <c r="DI383" s="36"/>
      <c r="DJ383" s="36"/>
      <c r="DK383" s="36"/>
      <c r="DL383" s="36"/>
      <c r="DM383" s="36"/>
      <c r="DN383" s="36"/>
      <c r="DO383" s="36"/>
      <c r="DP383" s="36"/>
      <c r="DQ383" s="36"/>
      <c r="DR383" s="36"/>
      <c r="DS383" s="36"/>
      <c r="DT383" s="36"/>
      <c r="DU383" s="36"/>
      <c r="DV383" s="36"/>
      <c r="DW383" s="36"/>
      <c r="DX383" s="36"/>
      <c r="DY383" s="36"/>
    </row>
    <row r="384" spans="84:129" ht="9" customHeight="1" x14ac:dyDescent="0.2">
      <c r="CF384" s="36"/>
      <c r="CG384" s="36"/>
      <c r="CH384" s="36"/>
      <c r="CI384" s="36"/>
      <c r="CJ384" s="36"/>
      <c r="CK384" s="36"/>
      <c r="CL384" s="36"/>
      <c r="CM384" s="37"/>
      <c r="CN384" s="36"/>
      <c r="CO384" s="36"/>
      <c r="CP384" s="36"/>
      <c r="CQ384" s="36"/>
      <c r="CR384" s="36"/>
      <c r="CS384" s="36"/>
      <c r="CT384" s="36"/>
      <c r="CU384" s="36"/>
      <c r="CV384" s="36"/>
      <c r="CW384" s="36"/>
      <c r="CX384" s="36"/>
      <c r="CY384" s="36"/>
      <c r="CZ384" s="36"/>
      <c r="DA384" s="36"/>
      <c r="DB384" s="36"/>
      <c r="DC384" s="36"/>
      <c r="DD384" s="36"/>
      <c r="DE384" s="36"/>
      <c r="DF384" s="36"/>
      <c r="DG384" s="36"/>
      <c r="DH384" s="36"/>
      <c r="DI384" s="36"/>
      <c r="DJ384" s="36"/>
      <c r="DK384" s="36"/>
      <c r="DL384" s="36"/>
      <c r="DM384" s="36"/>
      <c r="DN384" s="36"/>
      <c r="DO384" s="36"/>
      <c r="DP384" s="36"/>
      <c r="DQ384" s="36"/>
      <c r="DR384" s="36"/>
      <c r="DS384" s="36"/>
      <c r="DT384" s="36"/>
      <c r="DU384" s="36"/>
      <c r="DV384" s="36"/>
      <c r="DW384" s="36"/>
      <c r="DX384" s="36"/>
      <c r="DY384" s="36"/>
    </row>
    <row r="385" spans="84:129" ht="9" customHeight="1" x14ac:dyDescent="0.2">
      <c r="CF385" s="36"/>
      <c r="CG385" s="36"/>
      <c r="CH385" s="36"/>
      <c r="CI385" s="36"/>
      <c r="CJ385" s="36"/>
      <c r="CK385" s="36"/>
      <c r="CL385" s="36"/>
      <c r="CM385" s="37"/>
      <c r="CN385" s="36"/>
      <c r="CO385" s="36"/>
      <c r="CP385" s="36"/>
      <c r="CQ385" s="36"/>
      <c r="CR385" s="36"/>
      <c r="CS385" s="36"/>
      <c r="CT385" s="36"/>
      <c r="CU385" s="36"/>
      <c r="CV385" s="36"/>
      <c r="CW385" s="36"/>
      <c r="CX385" s="36"/>
      <c r="CY385" s="36"/>
      <c r="CZ385" s="36"/>
      <c r="DA385" s="36"/>
      <c r="DB385" s="36"/>
      <c r="DC385" s="36"/>
      <c r="DD385" s="36"/>
      <c r="DE385" s="36"/>
      <c r="DF385" s="36"/>
      <c r="DG385" s="36"/>
      <c r="DH385" s="36"/>
      <c r="DI385" s="36"/>
      <c r="DJ385" s="36"/>
      <c r="DK385" s="36"/>
      <c r="DL385" s="36"/>
      <c r="DM385" s="36"/>
      <c r="DN385" s="36"/>
      <c r="DO385" s="36"/>
      <c r="DP385" s="36"/>
      <c r="DQ385" s="36"/>
      <c r="DR385" s="36"/>
      <c r="DS385" s="36"/>
      <c r="DT385" s="36"/>
      <c r="DU385" s="36"/>
      <c r="DV385" s="36"/>
      <c r="DW385" s="36"/>
      <c r="DX385" s="36"/>
      <c r="DY385" s="36"/>
    </row>
    <row r="386" spans="84:129" ht="9" customHeight="1" x14ac:dyDescent="0.2">
      <c r="CF386" s="36"/>
      <c r="CG386" s="36"/>
      <c r="CH386" s="36"/>
      <c r="CI386" s="36"/>
      <c r="CJ386" s="36"/>
      <c r="CK386" s="36"/>
      <c r="CL386" s="36"/>
      <c r="CM386" s="37"/>
      <c r="CN386" s="36"/>
      <c r="CO386" s="36"/>
      <c r="CP386" s="36"/>
      <c r="CQ386" s="36"/>
      <c r="CR386" s="36"/>
      <c r="CS386" s="36"/>
      <c r="CT386" s="36"/>
      <c r="CU386" s="36"/>
      <c r="CV386" s="36"/>
      <c r="CW386" s="36"/>
      <c r="CX386" s="36"/>
      <c r="CY386" s="36"/>
      <c r="CZ386" s="36"/>
      <c r="DA386" s="36"/>
      <c r="DB386" s="36"/>
      <c r="DC386" s="36"/>
      <c r="DD386" s="36"/>
      <c r="DE386" s="36"/>
      <c r="DF386" s="36"/>
      <c r="DG386" s="36"/>
      <c r="DH386" s="36"/>
      <c r="DI386" s="36"/>
      <c r="DJ386" s="36"/>
      <c r="DK386" s="36"/>
      <c r="DL386" s="36"/>
      <c r="DM386" s="36"/>
      <c r="DN386" s="36"/>
      <c r="DO386" s="36"/>
      <c r="DP386" s="36"/>
      <c r="DQ386" s="36"/>
      <c r="DR386" s="36"/>
      <c r="DS386" s="36"/>
      <c r="DT386" s="36"/>
      <c r="DU386" s="36"/>
      <c r="DV386" s="36"/>
      <c r="DW386" s="36"/>
      <c r="DX386" s="36"/>
      <c r="DY386" s="36"/>
    </row>
    <row r="387" spans="84:129" ht="9" customHeight="1" x14ac:dyDescent="0.2">
      <c r="CF387" s="36"/>
      <c r="CG387" s="36"/>
      <c r="CH387" s="36"/>
      <c r="CI387" s="36"/>
      <c r="CJ387" s="36"/>
      <c r="CK387" s="36"/>
      <c r="CL387" s="36"/>
      <c r="CM387" s="37"/>
      <c r="CN387" s="36"/>
      <c r="CO387" s="36"/>
      <c r="CP387" s="36"/>
      <c r="CQ387" s="36"/>
      <c r="CR387" s="36"/>
      <c r="CS387" s="36"/>
      <c r="CT387" s="36"/>
      <c r="CU387" s="36"/>
      <c r="CV387" s="36"/>
      <c r="CW387" s="36"/>
      <c r="CX387" s="36"/>
      <c r="CY387" s="36"/>
      <c r="CZ387" s="36"/>
      <c r="DA387" s="36"/>
      <c r="DB387" s="36"/>
      <c r="DC387" s="36"/>
      <c r="DD387" s="36"/>
      <c r="DE387" s="36"/>
      <c r="DF387" s="36"/>
      <c r="DG387" s="36"/>
      <c r="DH387" s="36"/>
      <c r="DI387" s="36"/>
      <c r="DJ387" s="36"/>
      <c r="DK387" s="36"/>
      <c r="DL387" s="36"/>
      <c r="DM387" s="36"/>
      <c r="DN387" s="36"/>
      <c r="DO387" s="36"/>
      <c r="DP387" s="36"/>
      <c r="DQ387" s="36"/>
      <c r="DR387" s="36"/>
      <c r="DS387" s="36"/>
      <c r="DT387" s="36"/>
      <c r="DU387" s="36"/>
      <c r="DV387" s="36"/>
      <c r="DW387" s="36"/>
      <c r="DX387" s="36"/>
      <c r="DY387" s="36"/>
    </row>
    <row r="388" spans="84:129" ht="9" customHeight="1" x14ac:dyDescent="0.2">
      <c r="CF388" s="36"/>
      <c r="CG388" s="36"/>
      <c r="CH388" s="36"/>
      <c r="CI388" s="36"/>
      <c r="CJ388" s="36"/>
      <c r="CK388" s="36"/>
      <c r="CL388" s="36"/>
      <c r="CM388" s="37"/>
      <c r="CN388" s="36"/>
      <c r="CO388" s="36"/>
      <c r="CP388" s="36"/>
      <c r="CQ388" s="36"/>
      <c r="CR388" s="36"/>
      <c r="CS388" s="36"/>
      <c r="CT388" s="36"/>
      <c r="CU388" s="36"/>
      <c r="CV388" s="36"/>
      <c r="CW388" s="36"/>
      <c r="CX388" s="36"/>
      <c r="CY388" s="36"/>
      <c r="CZ388" s="36"/>
      <c r="DA388" s="36"/>
      <c r="DB388" s="36"/>
      <c r="DC388" s="36"/>
      <c r="DD388" s="36"/>
      <c r="DE388" s="36"/>
      <c r="DF388" s="36"/>
      <c r="DG388" s="36"/>
      <c r="DH388" s="36"/>
      <c r="DI388" s="36"/>
      <c r="DJ388" s="36"/>
      <c r="DK388" s="36"/>
      <c r="DL388" s="36"/>
      <c r="DM388" s="36"/>
      <c r="DN388" s="36"/>
      <c r="DO388" s="36"/>
      <c r="DP388" s="36"/>
      <c r="DQ388" s="36"/>
      <c r="DR388" s="36"/>
      <c r="DS388" s="36"/>
      <c r="DT388" s="36"/>
      <c r="DU388" s="36"/>
      <c r="DV388" s="36"/>
      <c r="DW388" s="36"/>
      <c r="DX388" s="36"/>
      <c r="DY388" s="36"/>
    </row>
    <row r="389" spans="84:129" ht="9" customHeight="1" x14ac:dyDescent="0.2">
      <c r="CF389" s="36"/>
      <c r="CG389" s="36"/>
      <c r="CH389" s="36"/>
      <c r="CI389" s="36"/>
      <c r="CJ389" s="36"/>
      <c r="CK389" s="36"/>
      <c r="CL389" s="36"/>
      <c r="CM389" s="37"/>
      <c r="CN389" s="36"/>
      <c r="CO389" s="36"/>
      <c r="CP389" s="36"/>
      <c r="CQ389" s="36"/>
      <c r="CR389" s="36"/>
      <c r="CS389" s="36"/>
      <c r="CT389" s="36"/>
      <c r="CU389" s="36"/>
      <c r="CV389" s="36"/>
      <c r="CW389" s="36"/>
      <c r="CX389" s="36"/>
      <c r="CY389" s="36"/>
      <c r="CZ389" s="36"/>
      <c r="DA389" s="36"/>
      <c r="DB389" s="36"/>
      <c r="DC389" s="36"/>
      <c r="DD389" s="36"/>
      <c r="DE389" s="36"/>
      <c r="DF389" s="36"/>
      <c r="DG389" s="36"/>
      <c r="DH389" s="36"/>
      <c r="DI389" s="36"/>
      <c r="DJ389" s="36"/>
      <c r="DK389" s="36"/>
      <c r="DL389" s="36"/>
      <c r="DM389" s="36"/>
      <c r="DN389" s="36"/>
      <c r="DO389" s="36"/>
      <c r="DP389" s="36"/>
      <c r="DQ389" s="36"/>
      <c r="DR389" s="36"/>
      <c r="DS389" s="36"/>
      <c r="DT389" s="36"/>
      <c r="DU389" s="36"/>
      <c r="DV389" s="36"/>
      <c r="DW389" s="36"/>
      <c r="DX389" s="36"/>
      <c r="DY389" s="36"/>
    </row>
    <row r="390" spans="84:129" ht="9" customHeight="1" x14ac:dyDescent="0.2">
      <c r="CF390" s="36"/>
      <c r="CG390" s="36"/>
      <c r="CH390" s="36"/>
      <c r="CI390" s="36"/>
      <c r="CJ390" s="36"/>
      <c r="CK390" s="36"/>
      <c r="CL390" s="36"/>
      <c r="CM390" s="37"/>
      <c r="CN390" s="36"/>
      <c r="CO390" s="36"/>
      <c r="CP390" s="36"/>
      <c r="CQ390" s="36"/>
      <c r="CR390" s="36"/>
      <c r="CS390" s="36"/>
      <c r="CT390" s="36"/>
      <c r="CU390" s="36"/>
      <c r="CV390" s="36"/>
      <c r="CW390" s="36"/>
      <c r="CX390" s="36"/>
      <c r="CY390" s="36"/>
      <c r="CZ390" s="36"/>
      <c r="DA390" s="36"/>
      <c r="DB390" s="36"/>
      <c r="DC390" s="36"/>
      <c r="DD390" s="36"/>
      <c r="DE390" s="36"/>
      <c r="DF390" s="36"/>
      <c r="DG390" s="36"/>
      <c r="DH390" s="36"/>
      <c r="DI390" s="36"/>
      <c r="DJ390" s="36"/>
      <c r="DK390" s="36"/>
      <c r="DL390" s="36"/>
      <c r="DM390" s="36"/>
      <c r="DN390" s="36"/>
      <c r="DO390" s="36"/>
      <c r="DP390" s="36"/>
      <c r="DQ390" s="36"/>
      <c r="DR390" s="36"/>
      <c r="DS390" s="36"/>
      <c r="DT390" s="36"/>
      <c r="DU390" s="36"/>
      <c r="DV390" s="36"/>
      <c r="DW390" s="36"/>
      <c r="DX390" s="36"/>
      <c r="DY390" s="36"/>
    </row>
    <row r="391" spans="84:129" ht="9" customHeight="1" x14ac:dyDescent="0.2">
      <c r="CF391" s="36"/>
      <c r="CG391" s="36"/>
      <c r="CH391" s="36"/>
      <c r="CI391" s="36"/>
      <c r="CJ391" s="36"/>
      <c r="CK391" s="36"/>
      <c r="CL391" s="36"/>
      <c r="CM391" s="37"/>
      <c r="CN391" s="36"/>
      <c r="CO391" s="36"/>
      <c r="CP391" s="36"/>
      <c r="CQ391" s="36"/>
      <c r="CR391" s="36"/>
      <c r="CS391" s="36"/>
      <c r="CT391" s="36"/>
      <c r="CU391" s="36"/>
      <c r="CV391" s="36"/>
      <c r="CW391" s="36"/>
      <c r="CX391" s="36"/>
      <c r="CY391" s="36"/>
      <c r="CZ391" s="36"/>
      <c r="DA391" s="36"/>
      <c r="DB391" s="36"/>
      <c r="DC391" s="36"/>
      <c r="DD391" s="36"/>
      <c r="DE391" s="36"/>
      <c r="DF391" s="36"/>
      <c r="DG391" s="36"/>
      <c r="DH391" s="36"/>
      <c r="DI391" s="36"/>
      <c r="DJ391" s="36"/>
      <c r="DK391" s="36"/>
      <c r="DL391" s="36"/>
      <c r="DM391" s="36"/>
      <c r="DN391" s="36"/>
      <c r="DO391" s="36"/>
      <c r="DP391" s="36"/>
      <c r="DQ391" s="36"/>
      <c r="DR391" s="36"/>
      <c r="DS391" s="36"/>
      <c r="DT391" s="36"/>
      <c r="DU391" s="36"/>
      <c r="DV391" s="36"/>
      <c r="DW391" s="36"/>
      <c r="DX391" s="36"/>
      <c r="DY391" s="36"/>
    </row>
    <row r="392" spans="84:129" ht="9" customHeight="1" x14ac:dyDescent="0.2">
      <c r="CF392" s="36"/>
      <c r="CG392" s="36"/>
      <c r="CH392" s="36"/>
      <c r="CI392" s="36"/>
      <c r="CJ392" s="36"/>
      <c r="CK392" s="36"/>
      <c r="CL392" s="36"/>
      <c r="CM392" s="37"/>
      <c r="CN392" s="36"/>
      <c r="CO392" s="36"/>
      <c r="CP392" s="36"/>
      <c r="CQ392" s="36"/>
      <c r="CR392" s="36"/>
      <c r="CS392" s="36"/>
      <c r="CT392" s="36"/>
      <c r="CU392" s="36"/>
      <c r="CV392" s="36"/>
      <c r="CW392" s="36"/>
      <c r="CX392" s="36"/>
      <c r="CY392" s="36"/>
      <c r="CZ392" s="36"/>
      <c r="DA392" s="36"/>
      <c r="DB392" s="36"/>
      <c r="DC392" s="36"/>
      <c r="DD392" s="36"/>
      <c r="DE392" s="36"/>
      <c r="DF392" s="36"/>
      <c r="DG392" s="36"/>
      <c r="DH392" s="36"/>
      <c r="DI392" s="36"/>
      <c r="DJ392" s="36"/>
      <c r="DK392" s="36"/>
      <c r="DL392" s="36"/>
      <c r="DM392" s="36"/>
      <c r="DN392" s="36"/>
      <c r="DO392" s="36"/>
      <c r="DP392" s="36"/>
      <c r="DQ392" s="36"/>
      <c r="DR392" s="36"/>
      <c r="DS392" s="36"/>
      <c r="DT392" s="36"/>
      <c r="DU392" s="36"/>
      <c r="DV392" s="36"/>
      <c r="DW392" s="36"/>
      <c r="DX392" s="36"/>
      <c r="DY392" s="36"/>
    </row>
    <row r="393" spans="84:129" ht="9" customHeight="1" x14ac:dyDescent="0.2">
      <c r="CF393" s="36"/>
      <c r="CG393" s="36"/>
      <c r="CH393" s="36"/>
      <c r="CI393" s="36"/>
      <c r="CJ393" s="36"/>
      <c r="CK393" s="36"/>
      <c r="CL393" s="36"/>
      <c r="CM393" s="37"/>
      <c r="CN393" s="36"/>
      <c r="CO393" s="36"/>
      <c r="CP393" s="36"/>
      <c r="CQ393" s="36"/>
      <c r="CR393" s="36"/>
      <c r="CS393" s="36"/>
      <c r="CT393" s="36"/>
      <c r="CU393" s="36"/>
      <c r="CV393" s="36"/>
      <c r="CW393" s="36"/>
      <c r="CX393" s="36"/>
      <c r="CY393" s="36"/>
      <c r="CZ393" s="36"/>
      <c r="DA393" s="36"/>
      <c r="DB393" s="36"/>
      <c r="DC393" s="36"/>
      <c r="DD393" s="36"/>
      <c r="DE393" s="36"/>
      <c r="DF393" s="36"/>
      <c r="DG393" s="36"/>
      <c r="DH393" s="36"/>
      <c r="DI393" s="36"/>
      <c r="DJ393" s="36"/>
      <c r="DK393" s="36"/>
      <c r="DL393" s="36"/>
      <c r="DM393" s="36"/>
      <c r="DN393" s="36"/>
      <c r="DO393" s="36"/>
      <c r="DP393" s="36"/>
      <c r="DQ393" s="36"/>
      <c r="DR393" s="36"/>
      <c r="DS393" s="36"/>
      <c r="DT393" s="36"/>
      <c r="DU393" s="36"/>
      <c r="DV393" s="36"/>
      <c r="DW393" s="36"/>
      <c r="DX393" s="36"/>
      <c r="DY393" s="36"/>
    </row>
    <row r="394" spans="84:129" ht="9" customHeight="1" x14ac:dyDescent="0.2">
      <c r="CF394" s="36"/>
      <c r="CG394" s="36"/>
      <c r="CH394" s="36"/>
      <c r="CI394" s="36"/>
      <c r="CJ394" s="36"/>
      <c r="CK394" s="36"/>
      <c r="CL394" s="36"/>
      <c r="CM394" s="37"/>
      <c r="CN394" s="36"/>
      <c r="CO394" s="36"/>
      <c r="CP394" s="36"/>
      <c r="CQ394" s="36"/>
      <c r="CR394" s="36"/>
      <c r="CS394" s="36"/>
      <c r="CT394" s="36"/>
      <c r="CU394" s="36"/>
      <c r="CV394" s="36"/>
      <c r="CW394" s="36"/>
      <c r="CX394" s="36"/>
      <c r="CY394" s="36"/>
      <c r="CZ394" s="36"/>
      <c r="DA394" s="36"/>
      <c r="DB394" s="36"/>
      <c r="DC394" s="36"/>
      <c r="DD394" s="36"/>
      <c r="DE394" s="36"/>
      <c r="DF394" s="36"/>
      <c r="DG394" s="36"/>
      <c r="DH394" s="36"/>
      <c r="DI394" s="36"/>
      <c r="DJ394" s="36"/>
      <c r="DK394" s="36"/>
      <c r="DL394" s="36"/>
      <c r="DM394" s="36"/>
      <c r="DN394" s="36"/>
      <c r="DO394" s="36"/>
      <c r="DP394" s="36"/>
      <c r="DQ394" s="36"/>
      <c r="DR394" s="36"/>
      <c r="DS394" s="36"/>
      <c r="DT394" s="36"/>
      <c r="DU394" s="36"/>
      <c r="DV394" s="36"/>
      <c r="DW394" s="36"/>
      <c r="DX394" s="36"/>
      <c r="DY394" s="36"/>
    </row>
    <row r="395" spans="84:129" ht="9" customHeight="1" x14ac:dyDescent="0.2">
      <c r="CF395" s="36"/>
      <c r="CG395" s="36"/>
      <c r="CH395" s="36"/>
      <c r="CI395" s="36"/>
      <c r="CJ395" s="36"/>
      <c r="CK395" s="36"/>
      <c r="CL395" s="36"/>
      <c r="CM395" s="37"/>
      <c r="CN395" s="36"/>
      <c r="CO395" s="36"/>
      <c r="CP395" s="36"/>
      <c r="CQ395" s="36"/>
      <c r="CR395" s="36"/>
      <c r="CS395" s="36"/>
      <c r="CT395" s="36"/>
      <c r="CU395" s="36"/>
      <c r="CV395" s="36"/>
      <c r="CW395" s="36"/>
      <c r="CX395" s="36"/>
      <c r="CY395" s="36"/>
      <c r="CZ395" s="36"/>
      <c r="DA395" s="36"/>
      <c r="DB395" s="36"/>
      <c r="DC395" s="36"/>
      <c r="DD395" s="36"/>
      <c r="DE395" s="36"/>
      <c r="DF395" s="36"/>
      <c r="DG395" s="36"/>
      <c r="DH395" s="36"/>
      <c r="DI395" s="36"/>
      <c r="DJ395" s="36"/>
      <c r="DK395" s="36"/>
      <c r="DL395" s="36"/>
      <c r="DM395" s="36"/>
      <c r="DN395" s="36"/>
      <c r="DO395" s="36"/>
      <c r="DP395" s="36"/>
      <c r="DQ395" s="36"/>
      <c r="DR395" s="36"/>
      <c r="DS395" s="36"/>
      <c r="DT395" s="36"/>
      <c r="DU395" s="36"/>
      <c r="DV395" s="36"/>
      <c r="DW395" s="36"/>
      <c r="DX395" s="36"/>
      <c r="DY395" s="36"/>
    </row>
    <row r="396" spans="84:129" ht="9" customHeight="1" x14ac:dyDescent="0.2">
      <c r="CF396" s="36"/>
      <c r="CG396" s="36"/>
      <c r="CH396" s="36"/>
      <c r="CI396" s="36"/>
      <c r="CJ396" s="36"/>
      <c r="CK396" s="36"/>
      <c r="CL396" s="36"/>
      <c r="CM396" s="37"/>
      <c r="CN396" s="36"/>
      <c r="CO396" s="36"/>
      <c r="CP396" s="36"/>
      <c r="CQ396" s="36"/>
      <c r="CR396" s="36"/>
      <c r="CS396" s="36"/>
      <c r="CT396" s="36"/>
      <c r="CU396" s="36"/>
      <c r="CV396" s="36"/>
      <c r="CW396" s="36"/>
      <c r="CX396" s="36"/>
      <c r="CY396" s="36"/>
      <c r="CZ396" s="36"/>
      <c r="DA396" s="36"/>
      <c r="DB396" s="36"/>
      <c r="DC396" s="36"/>
      <c r="DD396" s="36"/>
      <c r="DE396" s="36"/>
      <c r="DF396" s="36"/>
      <c r="DG396" s="36"/>
      <c r="DH396" s="36"/>
      <c r="DI396" s="36"/>
      <c r="DJ396" s="36"/>
      <c r="DK396" s="36"/>
      <c r="DL396" s="36"/>
      <c r="DM396" s="36"/>
      <c r="DN396" s="36"/>
      <c r="DO396" s="36"/>
      <c r="DP396" s="36"/>
      <c r="DQ396" s="36"/>
      <c r="DR396" s="36"/>
      <c r="DS396" s="36"/>
      <c r="DT396" s="36"/>
      <c r="DU396" s="36"/>
      <c r="DV396" s="36"/>
      <c r="DW396" s="36"/>
      <c r="DX396" s="36"/>
      <c r="DY396" s="36"/>
    </row>
    <row r="397" spans="84:129" ht="9" customHeight="1" x14ac:dyDescent="0.2">
      <c r="CF397" s="36"/>
      <c r="CG397" s="36"/>
      <c r="CH397" s="36"/>
      <c r="CI397" s="36"/>
      <c r="CJ397" s="36"/>
      <c r="CK397" s="36"/>
      <c r="CL397" s="36"/>
      <c r="CM397" s="37"/>
      <c r="CN397" s="36"/>
      <c r="CO397" s="36"/>
      <c r="CP397" s="36"/>
      <c r="CQ397" s="36"/>
      <c r="CR397" s="36"/>
      <c r="CS397" s="36"/>
      <c r="CT397" s="36"/>
      <c r="CU397" s="36"/>
      <c r="CV397" s="36"/>
      <c r="CW397" s="36"/>
      <c r="CX397" s="36"/>
      <c r="CY397" s="36"/>
      <c r="CZ397" s="36"/>
      <c r="DA397" s="36"/>
      <c r="DB397" s="36"/>
      <c r="DC397" s="36"/>
      <c r="DD397" s="36"/>
      <c r="DE397" s="36"/>
      <c r="DF397" s="36"/>
      <c r="DG397" s="36"/>
      <c r="DH397" s="36"/>
      <c r="DI397" s="36"/>
      <c r="DJ397" s="36"/>
      <c r="DK397" s="36"/>
      <c r="DL397" s="36"/>
      <c r="DM397" s="36"/>
      <c r="DN397" s="36"/>
      <c r="DO397" s="36"/>
      <c r="DP397" s="36"/>
      <c r="DQ397" s="36"/>
      <c r="DR397" s="36"/>
      <c r="DS397" s="36"/>
      <c r="DT397" s="36"/>
      <c r="DU397" s="36"/>
      <c r="DV397" s="36"/>
      <c r="DW397" s="36"/>
      <c r="DX397" s="36"/>
      <c r="DY397" s="36"/>
    </row>
    <row r="398" spans="84:129" ht="9" customHeight="1" x14ac:dyDescent="0.2">
      <c r="CF398" s="36"/>
      <c r="CG398" s="36"/>
      <c r="CH398" s="36"/>
      <c r="CI398" s="36"/>
      <c r="CJ398" s="36"/>
      <c r="CK398" s="36"/>
      <c r="CL398" s="36"/>
      <c r="CM398" s="37"/>
      <c r="CN398" s="36"/>
      <c r="CO398" s="36"/>
      <c r="CP398" s="36"/>
      <c r="CQ398" s="36"/>
      <c r="CR398" s="36"/>
      <c r="CS398" s="36"/>
      <c r="CT398" s="36"/>
      <c r="CU398" s="36"/>
      <c r="CV398" s="36"/>
      <c r="CW398" s="36"/>
      <c r="CX398" s="36"/>
      <c r="CY398" s="36"/>
      <c r="CZ398" s="36"/>
      <c r="DA398" s="36"/>
      <c r="DB398" s="36"/>
      <c r="DC398" s="36"/>
      <c r="DD398" s="36"/>
      <c r="DE398" s="36"/>
      <c r="DF398" s="36"/>
      <c r="DG398" s="36"/>
      <c r="DH398" s="36"/>
      <c r="DI398" s="36"/>
      <c r="DJ398" s="36"/>
      <c r="DK398" s="36"/>
      <c r="DL398" s="36"/>
      <c r="DM398" s="36"/>
      <c r="DN398" s="36"/>
      <c r="DO398" s="36"/>
      <c r="DP398" s="36"/>
      <c r="DQ398" s="36"/>
      <c r="DR398" s="36"/>
      <c r="DS398" s="36"/>
      <c r="DT398" s="36"/>
      <c r="DU398" s="36"/>
      <c r="DV398" s="36"/>
      <c r="DW398" s="36"/>
      <c r="DX398" s="36"/>
      <c r="DY398" s="36"/>
    </row>
    <row r="399" spans="84:129" ht="9" customHeight="1" x14ac:dyDescent="0.2">
      <c r="CF399" s="36"/>
      <c r="CG399" s="36"/>
      <c r="CH399" s="36"/>
      <c r="CI399" s="36"/>
      <c r="CJ399" s="36"/>
      <c r="CK399" s="36"/>
      <c r="CL399" s="36"/>
      <c r="CM399" s="37"/>
      <c r="CN399" s="36"/>
      <c r="CO399" s="36"/>
      <c r="CP399" s="36"/>
      <c r="CQ399" s="36"/>
      <c r="CR399" s="36"/>
      <c r="CS399" s="36"/>
      <c r="CT399" s="36"/>
      <c r="CU399" s="36"/>
      <c r="CV399" s="36"/>
      <c r="CW399" s="36"/>
      <c r="CX399" s="36"/>
      <c r="CY399" s="36"/>
      <c r="CZ399" s="36"/>
      <c r="DA399" s="36"/>
      <c r="DB399" s="36"/>
      <c r="DC399" s="36"/>
      <c r="DD399" s="36"/>
      <c r="DE399" s="36"/>
      <c r="DF399" s="36"/>
      <c r="DG399" s="36"/>
      <c r="DH399" s="36"/>
      <c r="DI399" s="36"/>
      <c r="DJ399" s="36"/>
      <c r="DK399" s="36"/>
      <c r="DL399" s="36"/>
      <c r="DM399" s="36"/>
      <c r="DN399" s="36"/>
      <c r="DO399" s="36"/>
      <c r="DP399" s="36"/>
      <c r="DQ399" s="36"/>
      <c r="DR399" s="36"/>
      <c r="DS399" s="36"/>
      <c r="DT399" s="36"/>
      <c r="DU399" s="36"/>
      <c r="DV399" s="36"/>
      <c r="DW399" s="36"/>
      <c r="DX399" s="36"/>
      <c r="DY399" s="36"/>
    </row>
    <row r="400" spans="84:129" ht="9" customHeight="1" x14ac:dyDescent="0.2">
      <c r="CF400" s="36"/>
      <c r="CG400" s="36"/>
      <c r="CH400" s="36"/>
      <c r="CI400" s="36"/>
      <c r="CJ400" s="36"/>
      <c r="CK400" s="36"/>
      <c r="CL400" s="36"/>
      <c r="CM400" s="37"/>
      <c r="CN400" s="36"/>
      <c r="CO400" s="36"/>
      <c r="CP400" s="36"/>
      <c r="CQ400" s="36"/>
      <c r="CR400" s="36"/>
      <c r="CS400" s="36"/>
      <c r="CT400" s="36"/>
      <c r="CU400" s="36"/>
      <c r="CV400" s="36"/>
      <c r="CW400" s="36"/>
      <c r="CX400" s="36"/>
      <c r="CY400" s="36"/>
      <c r="CZ400" s="36"/>
      <c r="DA400" s="36"/>
      <c r="DB400" s="36"/>
      <c r="DC400" s="36"/>
      <c r="DD400" s="36"/>
      <c r="DE400" s="36"/>
      <c r="DF400" s="36"/>
      <c r="DG400" s="36"/>
      <c r="DH400" s="36"/>
      <c r="DI400" s="36"/>
      <c r="DJ400" s="36"/>
      <c r="DK400" s="36"/>
      <c r="DL400" s="36"/>
      <c r="DM400" s="36"/>
      <c r="DN400" s="36"/>
      <c r="DO400" s="36"/>
      <c r="DP400" s="36"/>
      <c r="DQ400" s="36"/>
      <c r="DR400" s="36"/>
      <c r="DS400" s="36"/>
      <c r="DT400" s="36"/>
      <c r="DU400" s="36"/>
      <c r="DV400" s="36"/>
      <c r="DW400" s="36"/>
      <c r="DX400" s="36"/>
      <c r="DY400" s="36"/>
    </row>
    <row r="401" spans="84:129" ht="9" customHeight="1" x14ac:dyDescent="0.2">
      <c r="CF401" s="36"/>
      <c r="CG401" s="36"/>
      <c r="CH401" s="36"/>
      <c r="CI401" s="36"/>
      <c r="CJ401" s="36"/>
      <c r="CK401" s="36"/>
      <c r="CL401" s="36"/>
      <c r="CM401" s="37"/>
      <c r="CN401" s="36"/>
      <c r="CO401" s="36"/>
      <c r="CP401" s="36"/>
      <c r="CQ401" s="36"/>
      <c r="CR401" s="36"/>
      <c r="CS401" s="36"/>
      <c r="CT401" s="36"/>
      <c r="CU401" s="36"/>
      <c r="CV401" s="36"/>
      <c r="CW401" s="36"/>
      <c r="CX401" s="36"/>
      <c r="CY401" s="36"/>
      <c r="CZ401" s="36"/>
      <c r="DA401" s="36"/>
      <c r="DB401" s="36"/>
      <c r="DC401" s="36"/>
      <c r="DD401" s="36"/>
      <c r="DE401" s="36"/>
      <c r="DF401" s="36"/>
      <c r="DG401" s="36"/>
      <c r="DH401" s="36"/>
      <c r="DI401" s="36"/>
      <c r="DJ401" s="36"/>
      <c r="DK401" s="36"/>
      <c r="DL401" s="36"/>
      <c r="DM401" s="36"/>
      <c r="DN401" s="36"/>
      <c r="DO401" s="36"/>
      <c r="DP401" s="36"/>
      <c r="DQ401" s="36"/>
      <c r="DR401" s="36"/>
      <c r="DS401" s="36"/>
      <c r="DT401" s="36"/>
      <c r="DU401" s="36"/>
      <c r="DV401" s="36"/>
      <c r="DW401" s="36"/>
      <c r="DX401" s="36"/>
      <c r="DY401" s="36"/>
    </row>
    <row r="402" spans="84:129" ht="9" customHeight="1" x14ac:dyDescent="0.2">
      <c r="CF402" s="36"/>
      <c r="CG402" s="36"/>
      <c r="CH402" s="36"/>
      <c r="CI402" s="36"/>
      <c r="CJ402" s="36"/>
      <c r="CK402" s="36"/>
      <c r="CL402" s="36"/>
      <c r="CM402" s="37"/>
      <c r="CN402" s="36"/>
      <c r="CO402" s="36"/>
      <c r="CP402" s="36"/>
      <c r="CQ402" s="36"/>
      <c r="CR402" s="36"/>
      <c r="CS402" s="36"/>
      <c r="CT402" s="36"/>
      <c r="CU402" s="36"/>
      <c r="CV402" s="36"/>
      <c r="CW402" s="36"/>
      <c r="CX402" s="36"/>
      <c r="CY402" s="36"/>
      <c r="CZ402" s="36"/>
      <c r="DA402" s="36"/>
      <c r="DB402" s="36"/>
      <c r="DC402" s="36"/>
      <c r="DD402" s="36"/>
      <c r="DE402" s="36"/>
      <c r="DF402" s="36"/>
      <c r="DG402" s="36"/>
      <c r="DH402" s="36"/>
      <c r="DI402" s="36"/>
      <c r="DJ402" s="36"/>
      <c r="DK402" s="36"/>
      <c r="DL402" s="36"/>
      <c r="DM402" s="36"/>
      <c r="DN402" s="36"/>
      <c r="DO402" s="36"/>
      <c r="DP402" s="36"/>
      <c r="DQ402" s="36"/>
      <c r="DR402" s="36"/>
      <c r="DS402" s="36"/>
      <c r="DT402" s="36"/>
      <c r="DU402" s="36"/>
      <c r="DV402" s="36"/>
      <c r="DW402" s="36"/>
      <c r="DX402" s="36"/>
      <c r="DY402" s="36"/>
    </row>
    <row r="403" spans="84:129" ht="9" customHeight="1" x14ac:dyDescent="0.2">
      <c r="CF403" s="36"/>
      <c r="CG403" s="36"/>
      <c r="CH403" s="36"/>
      <c r="CI403" s="36"/>
      <c r="CJ403" s="36"/>
      <c r="CK403" s="36"/>
      <c r="CL403" s="36"/>
      <c r="CM403" s="37"/>
      <c r="CN403" s="36"/>
      <c r="CO403" s="36"/>
      <c r="CP403" s="36"/>
      <c r="CQ403" s="36"/>
      <c r="CR403" s="36"/>
      <c r="CS403" s="36"/>
      <c r="CT403" s="36"/>
      <c r="CU403" s="36"/>
      <c r="CV403" s="36"/>
      <c r="CW403" s="36"/>
      <c r="CX403" s="36"/>
      <c r="CY403" s="36"/>
      <c r="CZ403" s="36"/>
      <c r="DA403" s="36"/>
      <c r="DB403" s="36"/>
      <c r="DC403" s="36"/>
      <c r="DD403" s="36"/>
      <c r="DE403" s="36"/>
      <c r="DF403" s="36"/>
      <c r="DG403" s="36"/>
      <c r="DH403" s="36"/>
      <c r="DI403" s="36"/>
      <c r="DJ403" s="36"/>
      <c r="DK403" s="36"/>
      <c r="DL403" s="36"/>
      <c r="DM403" s="36"/>
      <c r="DN403" s="36"/>
      <c r="DO403" s="36"/>
      <c r="DP403" s="36"/>
      <c r="DQ403" s="36"/>
      <c r="DR403" s="36"/>
      <c r="DS403" s="36"/>
      <c r="DT403" s="36"/>
      <c r="DU403" s="36"/>
      <c r="DV403" s="36"/>
      <c r="DW403" s="36"/>
      <c r="DX403" s="36"/>
      <c r="DY403" s="36"/>
    </row>
    <row r="404" spans="84:129" ht="9" customHeight="1" x14ac:dyDescent="0.2">
      <c r="CF404" s="36"/>
      <c r="CG404" s="36"/>
      <c r="CH404" s="36"/>
      <c r="CI404" s="36"/>
      <c r="CJ404" s="36"/>
      <c r="CK404" s="36"/>
      <c r="CL404" s="36"/>
      <c r="CM404" s="37"/>
      <c r="CN404" s="36"/>
      <c r="CO404" s="36"/>
      <c r="CP404" s="36"/>
      <c r="CQ404" s="36"/>
      <c r="CR404" s="36"/>
      <c r="CS404" s="36"/>
      <c r="CT404" s="36"/>
      <c r="CU404" s="36"/>
      <c r="CV404" s="36"/>
      <c r="CW404" s="36"/>
      <c r="CX404" s="36"/>
      <c r="CY404" s="36"/>
      <c r="CZ404" s="36"/>
      <c r="DA404" s="36"/>
      <c r="DB404" s="36"/>
      <c r="DC404" s="36"/>
      <c r="DD404" s="36"/>
      <c r="DE404" s="36"/>
      <c r="DF404" s="36"/>
      <c r="DG404" s="36"/>
      <c r="DH404" s="36"/>
      <c r="DI404" s="36"/>
      <c r="DJ404" s="36"/>
      <c r="DK404" s="36"/>
      <c r="DL404" s="36"/>
      <c r="DM404" s="36"/>
      <c r="DN404" s="36"/>
      <c r="DO404" s="36"/>
      <c r="DP404" s="36"/>
      <c r="DQ404" s="36"/>
      <c r="DR404" s="36"/>
      <c r="DS404" s="36"/>
      <c r="DT404" s="36"/>
      <c r="DU404" s="36"/>
      <c r="DV404" s="36"/>
      <c r="DW404" s="36"/>
      <c r="DX404" s="36"/>
      <c r="DY404" s="36"/>
    </row>
    <row r="405" spans="84:129" ht="9" customHeight="1" x14ac:dyDescent="0.2">
      <c r="CF405" s="36"/>
      <c r="CG405" s="36"/>
      <c r="CH405" s="36"/>
      <c r="CI405" s="36"/>
      <c r="CJ405" s="36"/>
      <c r="CK405" s="36"/>
      <c r="CL405" s="36"/>
      <c r="CM405" s="37"/>
      <c r="CN405" s="36"/>
      <c r="CO405" s="36"/>
      <c r="CP405" s="36"/>
      <c r="CQ405" s="36"/>
      <c r="CR405" s="36"/>
      <c r="CS405" s="36"/>
      <c r="CT405" s="36"/>
      <c r="CU405" s="36"/>
      <c r="CV405" s="36"/>
      <c r="CW405" s="36"/>
      <c r="CX405" s="36"/>
      <c r="CY405" s="36"/>
      <c r="CZ405" s="36"/>
      <c r="DA405" s="36"/>
      <c r="DB405" s="36"/>
      <c r="DC405" s="36"/>
      <c r="DD405" s="36"/>
      <c r="DE405" s="36"/>
      <c r="DF405" s="36"/>
      <c r="DG405" s="36"/>
      <c r="DH405" s="36"/>
      <c r="DI405" s="36"/>
      <c r="DJ405" s="36"/>
      <c r="DK405" s="36"/>
      <c r="DL405" s="36"/>
      <c r="DM405" s="36"/>
      <c r="DN405" s="36"/>
      <c r="DO405" s="36"/>
      <c r="DP405" s="36"/>
      <c r="DQ405" s="36"/>
      <c r="DR405" s="36"/>
      <c r="DS405" s="36"/>
      <c r="DT405" s="36"/>
      <c r="DU405" s="36"/>
      <c r="DV405" s="36"/>
      <c r="DW405" s="36"/>
      <c r="DX405" s="36"/>
      <c r="DY405" s="36"/>
    </row>
    <row r="406" spans="84:129" ht="9" customHeight="1" x14ac:dyDescent="0.2">
      <c r="CF406" s="36"/>
      <c r="CG406" s="36"/>
      <c r="CH406" s="36"/>
      <c r="CI406" s="36"/>
      <c r="CJ406" s="36"/>
      <c r="CK406" s="36"/>
      <c r="CL406" s="36"/>
      <c r="CM406" s="37"/>
      <c r="CN406" s="36"/>
      <c r="CO406" s="36"/>
      <c r="CP406" s="36"/>
      <c r="CQ406" s="36"/>
      <c r="CR406" s="36"/>
      <c r="CS406" s="36"/>
      <c r="CT406" s="36"/>
      <c r="CU406" s="36"/>
      <c r="CV406" s="36"/>
      <c r="CW406" s="36"/>
      <c r="CX406" s="36"/>
      <c r="CY406" s="36"/>
      <c r="CZ406" s="36"/>
      <c r="DA406" s="36"/>
      <c r="DB406" s="36"/>
      <c r="DC406" s="36"/>
      <c r="DD406" s="36"/>
      <c r="DE406" s="36"/>
      <c r="DF406" s="36"/>
      <c r="DG406" s="36"/>
      <c r="DH406" s="36"/>
      <c r="DI406" s="36"/>
      <c r="DJ406" s="36"/>
      <c r="DK406" s="36"/>
      <c r="DL406" s="36"/>
      <c r="DM406" s="36"/>
      <c r="DN406" s="36"/>
      <c r="DO406" s="36"/>
      <c r="DP406" s="36"/>
      <c r="DQ406" s="36"/>
      <c r="DR406" s="36"/>
      <c r="DS406" s="36"/>
      <c r="DT406" s="36"/>
      <c r="DU406" s="36"/>
      <c r="DV406" s="36"/>
      <c r="DW406" s="36"/>
      <c r="DX406" s="36"/>
      <c r="DY406" s="36"/>
    </row>
    <row r="407" spans="84:129" ht="9" customHeight="1" x14ac:dyDescent="0.2">
      <c r="CF407" s="36"/>
      <c r="CG407" s="36"/>
      <c r="CH407" s="36"/>
      <c r="CI407" s="36"/>
      <c r="CJ407" s="36"/>
      <c r="CK407" s="36"/>
      <c r="CL407" s="36"/>
      <c r="CM407" s="37"/>
      <c r="CN407" s="36"/>
      <c r="CO407" s="36"/>
      <c r="CP407" s="36"/>
      <c r="CQ407" s="36"/>
      <c r="CR407" s="36"/>
      <c r="CS407" s="36"/>
      <c r="CT407" s="36"/>
      <c r="CU407" s="36"/>
      <c r="CV407" s="36"/>
      <c r="CW407" s="36"/>
      <c r="CX407" s="36"/>
      <c r="CY407" s="36"/>
      <c r="CZ407" s="36"/>
      <c r="DA407" s="36"/>
      <c r="DB407" s="36"/>
      <c r="DC407" s="36"/>
      <c r="DD407" s="36"/>
      <c r="DE407" s="36"/>
      <c r="DF407" s="36"/>
      <c r="DG407" s="36"/>
      <c r="DH407" s="36"/>
      <c r="DI407" s="36"/>
      <c r="DJ407" s="36"/>
      <c r="DK407" s="36"/>
      <c r="DL407" s="36"/>
      <c r="DM407" s="36"/>
      <c r="DN407" s="36"/>
      <c r="DO407" s="36"/>
      <c r="DP407" s="36"/>
      <c r="DQ407" s="36"/>
      <c r="DR407" s="36"/>
      <c r="DS407" s="36"/>
      <c r="DT407" s="36"/>
      <c r="DU407" s="36"/>
      <c r="DV407" s="36"/>
      <c r="DW407" s="36"/>
      <c r="DX407" s="36"/>
      <c r="DY407" s="36"/>
    </row>
    <row r="408" spans="84:129" ht="9" customHeight="1" x14ac:dyDescent="0.2">
      <c r="CF408" s="36"/>
      <c r="CG408" s="36"/>
      <c r="CH408" s="36"/>
      <c r="CI408" s="36"/>
      <c r="CJ408" s="36"/>
      <c r="CK408" s="36"/>
      <c r="CL408" s="36"/>
      <c r="CM408" s="37"/>
      <c r="CN408" s="36"/>
      <c r="CO408" s="36"/>
      <c r="CP408" s="36"/>
      <c r="CQ408" s="36"/>
      <c r="CR408" s="36"/>
      <c r="CS408" s="36"/>
      <c r="CT408" s="36"/>
      <c r="CU408" s="36"/>
      <c r="CV408" s="36"/>
      <c r="CW408" s="36"/>
      <c r="CX408" s="36"/>
      <c r="CY408" s="36"/>
      <c r="CZ408" s="36"/>
      <c r="DA408" s="36"/>
      <c r="DB408" s="36"/>
      <c r="DC408" s="36"/>
      <c r="DD408" s="36"/>
      <c r="DE408" s="36"/>
      <c r="DF408" s="36"/>
      <c r="DG408" s="36"/>
      <c r="DH408" s="36"/>
      <c r="DI408" s="36"/>
      <c r="DJ408" s="36"/>
      <c r="DK408" s="36"/>
      <c r="DL408" s="36"/>
      <c r="DM408" s="36"/>
      <c r="DN408" s="36"/>
      <c r="DO408" s="36"/>
      <c r="DP408" s="36"/>
      <c r="DQ408" s="36"/>
      <c r="DR408" s="36"/>
      <c r="DS408" s="36"/>
      <c r="DT408" s="36"/>
      <c r="DU408" s="36"/>
      <c r="DV408" s="36"/>
      <c r="DW408" s="36"/>
      <c r="DX408" s="36"/>
      <c r="DY408" s="36"/>
    </row>
    <row r="409" spans="84:129" ht="9" customHeight="1" x14ac:dyDescent="0.2">
      <c r="CF409" s="36"/>
      <c r="CG409" s="36"/>
      <c r="CH409" s="36"/>
      <c r="CI409" s="36"/>
      <c r="CJ409" s="36"/>
      <c r="CK409" s="36"/>
      <c r="CL409" s="36"/>
      <c r="CM409" s="37"/>
      <c r="CN409" s="36"/>
      <c r="CO409" s="36"/>
      <c r="CP409" s="36"/>
      <c r="CQ409" s="36"/>
      <c r="CR409" s="36"/>
      <c r="CS409" s="36"/>
      <c r="CT409" s="36"/>
      <c r="CU409" s="36"/>
      <c r="CV409" s="36"/>
      <c r="CW409" s="36"/>
      <c r="CX409" s="36"/>
      <c r="CY409" s="36"/>
      <c r="CZ409" s="36"/>
      <c r="DA409" s="36"/>
      <c r="DB409" s="36"/>
      <c r="DC409" s="36"/>
      <c r="DD409" s="36"/>
      <c r="DE409" s="36"/>
      <c r="DF409" s="36"/>
      <c r="DG409" s="36"/>
      <c r="DH409" s="36"/>
      <c r="DI409" s="36"/>
      <c r="DJ409" s="36"/>
      <c r="DK409" s="36"/>
      <c r="DL409" s="36"/>
      <c r="DM409" s="36"/>
      <c r="DN409" s="36"/>
      <c r="DO409" s="36"/>
      <c r="DP409" s="36"/>
      <c r="DQ409" s="36"/>
      <c r="DR409" s="36"/>
      <c r="DS409" s="36"/>
      <c r="DT409" s="36"/>
      <c r="DU409" s="36"/>
      <c r="DV409" s="36"/>
      <c r="DW409" s="36"/>
      <c r="DX409" s="36"/>
      <c r="DY409" s="36"/>
    </row>
    <row r="410" spans="84:129" ht="9" customHeight="1" x14ac:dyDescent="0.2">
      <c r="CF410" s="36"/>
      <c r="CG410" s="36"/>
      <c r="CH410" s="36"/>
      <c r="CI410" s="36"/>
      <c r="CJ410" s="36"/>
      <c r="CK410" s="36"/>
      <c r="CL410" s="36"/>
      <c r="CM410" s="37"/>
      <c r="CN410" s="36"/>
      <c r="CO410" s="36"/>
      <c r="CP410" s="36"/>
      <c r="CQ410" s="36"/>
      <c r="CR410" s="36"/>
      <c r="CS410" s="36"/>
      <c r="CT410" s="36"/>
      <c r="CU410" s="36"/>
      <c r="CV410" s="36"/>
      <c r="CW410" s="36"/>
      <c r="CX410" s="36"/>
      <c r="CY410" s="36"/>
      <c r="CZ410" s="36"/>
      <c r="DA410" s="36"/>
      <c r="DB410" s="36"/>
      <c r="DC410" s="36"/>
      <c r="DD410" s="36"/>
      <c r="DE410" s="36"/>
      <c r="DF410" s="36"/>
      <c r="DG410" s="36"/>
      <c r="DH410" s="36"/>
      <c r="DI410" s="36"/>
      <c r="DJ410" s="36"/>
      <c r="DK410" s="36"/>
      <c r="DL410" s="36"/>
      <c r="DM410" s="36"/>
      <c r="DN410" s="36"/>
      <c r="DO410" s="36"/>
      <c r="DP410" s="36"/>
      <c r="DQ410" s="36"/>
      <c r="DR410" s="36"/>
      <c r="DS410" s="36"/>
      <c r="DT410" s="36"/>
      <c r="DU410" s="36"/>
      <c r="DV410" s="36"/>
      <c r="DW410" s="36"/>
      <c r="DX410" s="36"/>
      <c r="DY410" s="36"/>
    </row>
    <row r="411" spans="84:129" ht="9" customHeight="1" x14ac:dyDescent="0.2">
      <c r="CF411" s="36"/>
      <c r="CG411" s="36"/>
      <c r="CH411" s="36"/>
      <c r="CI411" s="36"/>
      <c r="CJ411" s="36"/>
      <c r="CK411" s="36"/>
      <c r="CL411" s="36"/>
      <c r="CM411" s="37"/>
      <c r="CN411" s="36"/>
      <c r="CO411" s="36"/>
      <c r="CP411" s="36"/>
      <c r="CQ411" s="36"/>
      <c r="CR411" s="36"/>
      <c r="CS411" s="36"/>
      <c r="CT411" s="36"/>
      <c r="CU411" s="36"/>
      <c r="CV411" s="36"/>
      <c r="CW411" s="36"/>
      <c r="CX411" s="36"/>
      <c r="CY411" s="36"/>
      <c r="CZ411" s="36"/>
      <c r="DA411" s="36"/>
      <c r="DB411" s="36"/>
      <c r="DC411" s="36"/>
      <c r="DD411" s="36"/>
      <c r="DE411" s="36"/>
      <c r="DF411" s="36"/>
      <c r="DG411" s="36"/>
      <c r="DH411" s="36"/>
      <c r="DI411" s="36"/>
      <c r="DJ411" s="36"/>
      <c r="DK411" s="36"/>
      <c r="DL411" s="36"/>
      <c r="DM411" s="36"/>
      <c r="DN411" s="36"/>
      <c r="DO411" s="36"/>
      <c r="DP411" s="36"/>
      <c r="DQ411" s="36"/>
      <c r="DR411" s="36"/>
      <c r="DS411" s="36"/>
      <c r="DT411" s="36"/>
      <c r="DU411" s="36"/>
      <c r="DV411" s="36"/>
      <c r="DW411" s="36"/>
      <c r="DX411" s="36"/>
      <c r="DY411" s="36"/>
    </row>
    <row r="412" spans="84:129" ht="9" customHeight="1" x14ac:dyDescent="0.2">
      <c r="CF412" s="36"/>
      <c r="CG412" s="36"/>
      <c r="CH412" s="36"/>
      <c r="CI412" s="36"/>
      <c r="CJ412" s="36"/>
      <c r="CK412" s="36"/>
      <c r="CL412" s="36"/>
      <c r="CM412" s="37"/>
      <c r="CN412" s="36"/>
      <c r="CO412" s="36"/>
      <c r="CP412" s="36"/>
      <c r="CQ412" s="36"/>
      <c r="CR412" s="36"/>
      <c r="CS412" s="36"/>
      <c r="CT412" s="36"/>
      <c r="CU412" s="36"/>
      <c r="CV412" s="36"/>
      <c r="CW412" s="36"/>
      <c r="CX412" s="36"/>
      <c r="CY412" s="36"/>
      <c r="CZ412" s="36"/>
      <c r="DA412" s="36"/>
      <c r="DB412" s="36"/>
      <c r="DC412" s="36"/>
      <c r="DD412" s="36"/>
      <c r="DE412" s="36"/>
      <c r="DF412" s="36"/>
      <c r="DG412" s="36"/>
      <c r="DH412" s="36"/>
      <c r="DI412" s="36"/>
      <c r="DJ412" s="36"/>
      <c r="DK412" s="36"/>
      <c r="DL412" s="36"/>
      <c r="DM412" s="36"/>
      <c r="DN412" s="36"/>
      <c r="DO412" s="36"/>
      <c r="DP412" s="36"/>
      <c r="DQ412" s="36"/>
      <c r="DR412" s="36"/>
      <c r="DS412" s="36"/>
      <c r="DT412" s="36"/>
      <c r="DU412" s="36"/>
      <c r="DV412" s="36"/>
      <c r="DW412" s="36"/>
      <c r="DX412" s="36"/>
      <c r="DY412" s="36"/>
    </row>
    <row r="413" spans="84:129" ht="9" customHeight="1" x14ac:dyDescent="0.2">
      <c r="CF413" s="36"/>
      <c r="CG413" s="36"/>
      <c r="CH413" s="36"/>
      <c r="CI413" s="36"/>
      <c r="CJ413" s="36"/>
      <c r="CK413" s="36"/>
      <c r="CL413" s="36"/>
      <c r="CM413" s="37"/>
      <c r="CN413" s="36"/>
      <c r="CO413" s="36"/>
      <c r="CP413" s="36"/>
      <c r="CQ413" s="36"/>
      <c r="CR413" s="36"/>
      <c r="CS413" s="36"/>
      <c r="CT413" s="36"/>
      <c r="CU413" s="36"/>
      <c r="CV413" s="36"/>
      <c r="CW413" s="36"/>
      <c r="CX413" s="36"/>
      <c r="CY413" s="36"/>
      <c r="CZ413" s="36"/>
      <c r="DA413" s="36"/>
      <c r="DB413" s="36"/>
      <c r="DC413" s="36"/>
      <c r="DD413" s="36"/>
      <c r="DE413" s="36"/>
      <c r="DF413" s="36"/>
      <c r="DG413" s="36"/>
      <c r="DH413" s="36"/>
      <c r="DI413" s="36"/>
      <c r="DJ413" s="36"/>
      <c r="DK413" s="36"/>
      <c r="DL413" s="36"/>
      <c r="DM413" s="36"/>
      <c r="DN413" s="36"/>
      <c r="DO413" s="36"/>
      <c r="DP413" s="36"/>
      <c r="DQ413" s="36"/>
      <c r="DR413" s="36"/>
      <c r="DS413" s="36"/>
      <c r="DT413" s="36"/>
      <c r="DU413" s="36"/>
      <c r="DV413" s="36"/>
      <c r="DW413" s="36"/>
      <c r="DX413" s="36"/>
      <c r="DY413" s="36"/>
    </row>
    <row r="414" spans="84:129" ht="9" customHeight="1" x14ac:dyDescent="0.2">
      <c r="CF414" s="36"/>
      <c r="CG414" s="36"/>
      <c r="CH414" s="36"/>
      <c r="CI414" s="36"/>
      <c r="CJ414" s="36"/>
      <c r="CK414" s="36"/>
      <c r="CL414" s="36"/>
      <c r="CM414" s="37"/>
      <c r="CN414" s="36"/>
      <c r="CO414" s="36"/>
      <c r="CP414" s="36"/>
      <c r="CQ414" s="36"/>
      <c r="CR414" s="36"/>
      <c r="CS414" s="36"/>
      <c r="CT414" s="36"/>
      <c r="CU414" s="36"/>
      <c r="CV414" s="36"/>
      <c r="CW414" s="36"/>
      <c r="CX414" s="36"/>
      <c r="CY414" s="36"/>
      <c r="CZ414" s="36"/>
      <c r="DA414" s="36"/>
      <c r="DB414" s="36"/>
      <c r="DC414" s="36"/>
      <c r="DD414" s="36"/>
      <c r="DE414" s="36"/>
      <c r="DF414" s="36"/>
      <c r="DG414" s="36"/>
      <c r="DH414" s="36"/>
      <c r="DI414" s="36"/>
      <c r="DJ414" s="36"/>
      <c r="DK414" s="36"/>
      <c r="DL414" s="36"/>
      <c r="DM414" s="36"/>
      <c r="DN414" s="36"/>
      <c r="DO414" s="36"/>
      <c r="DP414" s="36"/>
      <c r="DQ414" s="36"/>
      <c r="DR414" s="36"/>
      <c r="DS414" s="36"/>
      <c r="DT414" s="36"/>
      <c r="DU414" s="36"/>
      <c r="DV414" s="36"/>
      <c r="DW414" s="36"/>
      <c r="DX414" s="36"/>
      <c r="DY414" s="36"/>
    </row>
    <row r="415" spans="84:129" ht="9" customHeight="1" x14ac:dyDescent="0.2">
      <c r="CF415" s="36"/>
      <c r="CG415" s="36"/>
      <c r="CH415" s="36"/>
      <c r="CI415" s="36"/>
      <c r="CJ415" s="36"/>
      <c r="CK415" s="36"/>
      <c r="CL415" s="36"/>
      <c r="CM415" s="37"/>
      <c r="CN415" s="36"/>
      <c r="CO415" s="36"/>
      <c r="CP415" s="36"/>
      <c r="CQ415" s="36"/>
      <c r="CR415" s="36"/>
      <c r="CS415" s="36"/>
      <c r="CT415" s="36"/>
      <c r="CU415" s="36"/>
      <c r="CV415" s="36"/>
      <c r="CW415" s="36"/>
      <c r="CX415" s="36"/>
      <c r="CY415" s="36"/>
      <c r="CZ415" s="36"/>
      <c r="DA415" s="36"/>
      <c r="DB415" s="36"/>
      <c r="DC415" s="36"/>
      <c r="DD415" s="36"/>
      <c r="DE415" s="36"/>
      <c r="DF415" s="36"/>
      <c r="DG415" s="36"/>
      <c r="DH415" s="36"/>
      <c r="DI415" s="36"/>
      <c r="DJ415" s="36"/>
      <c r="DK415" s="36"/>
      <c r="DL415" s="36"/>
      <c r="DM415" s="36"/>
      <c r="DN415" s="36"/>
      <c r="DO415" s="36"/>
      <c r="DP415" s="36"/>
      <c r="DQ415" s="36"/>
      <c r="DR415" s="36"/>
      <c r="DS415" s="36"/>
      <c r="DT415" s="36"/>
      <c r="DU415" s="36"/>
      <c r="DV415" s="36"/>
      <c r="DW415" s="36"/>
      <c r="DX415" s="36"/>
      <c r="DY415" s="36"/>
    </row>
    <row r="416" spans="84:129" ht="9" customHeight="1" x14ac:dyDescent="0.2">
      <c r="CF416" s="36"/>
      <c r="CG416" s="36"/>
      <c r="CH416" s="36"/>
      <c r="CI416" s="36"/>
      <c r="CJ416" s="36"/>
      <c r="CK416" s="36"/>
      <c r="CL416" s="36"/>
      <c r="CM416" s="37"/>
      <c r="CN416" s="36"/>
      <c r="CO416" s="36"/>
      <c r="CP416" s="36"/>
      <c r="CQ416" s="36"/>
      <c r="CR416" s="36"/>
      <c r="CS416" s="36"/>
      <c r="CT416" s="36"/>
      <c r="CU416" s="36"/>
      <c r="CV416" s="36"/>
      <c r="CW416" s="36"/>
      <c r="CX416" s="36"/>
      <c r="CY416" s="36"/>
      <c r="CZ416" s="36"/>
      <c r="DA416" s="36"/>
      <c r="DB416" s="36"/>
      <c r="DC416" s="36"/>
      <c r="DD416" s="36"/>
      <c r="DE416" s="36"/>
      <c r="DF416" s="36"/>
      <c r="DG416" s="36"/>
      <c r="DH416" s="36"/>
      <c r="DI416" s="36"/>
      <c r="DJ416" s="36"/>
      <c r="DK416" s="36"/>
      <c r="DL416" s="36"/>
      <c r="DM416" s="36"/>
      <c r="DN416" s="36"/>
      <c r="DO416" s="36"/>
      <c r="DP416" s="36"/>
      <c r="DQ416" s="36"/>
      <c r="DR416" s="36"/>
      <c r="DS416" s="36"/>
      <c r="DT416" s="36"/>
      <c r="DU416" s="36"/>
      <c r="DV416" s="36"/>
      <c r="DW416" s="36"/>
      <c r="DX416" s="36"/>
      <c r="DY416" s="36"/>
    </row>
    <row r="417" spans="84:129" ht="9" customHeight="1" x14ac:dyDescent="0.2">
      <c r="CF417" s="36"/>
      <c r="CG417" s="36"/>
      <c r="CH417" s="36"/>
      <c r="CI417" s="36"/>
      <c r="CJ417" s="36"/>
      <c r="CK417" s="36"/>
      <c r="CL417" s="36"/>
      <c r="CM417" s="37"/>
      <c r="CN417" s="36"/>
      <c r="CO417" s="36"/>
      <c r="CP417" s="36"/>
      <c r="CQ417" s="36"/>
      <c r="CR417" s="36"/>
      <c r="CS417" s="36"/>
      <c r="CT417" s="36"/>
      <c r="CU417" s="36"/>
      <c r="CV417" s="36"/>
      <c r="CW417" s="36"/>
      <c r="CX417" s="36"/>
      <c r="CY417" s="36"/>
      <c r="CZ417" s="36"/>
      <c r="DA417" s="36"/>
      <c r="DB417" s="36"/>
      <c r="DC417" s="36"/>
      <c r="DD417" s="36"/>
      <c r="DE417" s="36"/>
      <c r="DF417" s="36"/>
      <c r="DG417" s="36"/>
      <c r="DH417" s="36"/>
      <c r="DI417" s="36"/>
      <c r="DJ417" s="36"/>
      <c r="DK417" s="36"/>
      <c r="DL417" s="36"/>
      <c r="DM417" s="36"/>
      <c r="DN417" s="36"/>
      <c r="DO417" s="36"/>
      <c r="DP417" s="36"/>
      <c r="DQ417" s="36"/>
      <c r="DR417" s="36"/>
      <c r="DS417" s="36"/>
      <c r="DT417" s="36"/>
      <c r="DU417" s="36"/>
      <c r="DV417" s="36"/>
      <c r="DW417" s="36"/>
      <c r="DX417" s="36"/>
      <c r="DY417" s="36"/>
    </row>
    <row r="418" spans="84:129" ht="9" customHeight="1" x14ac:dyDescent="0.2">
      <c r="CF418" s="36"/>
      <c r="CG418" s="36"/>
      <c r="CH418" s="36"/>
      <c r="CI418" s="36"/>
      <c r="CJ418" s="36"/>
      <c r="CK418" s="36"/>
      <c r="CL418" s="36"/>
      <c r="CM418" s="37"/>
      <c r="CN418" s="36"/>
      <c r="CO418" s="36"/>
      <c r="CP418" s="36"/>
      <c r="CQ418" s="36"/>
      <c r="CR418" s="36"/>
      <c r="CS418" s="36"/>
      <c r="CT418" s="36"/>
      <c r="CU418" s="36"/>
      <c r="CV418" s="36"/>
      <c r="CW418" s="36"/>
      <c r="CX418" s="36"/>
      <c r="CY418" s="36"/>
      <c r="CZ418" s="36"/>
      <c r="DA418" s="36"/>
      <c r="DB418" s="36"/>
      <c r="DC418" s="36"/>
      <c r="DD418" s="36"/>
      <c r="DE418" s="36"/>
      <c r="DF418" s="36"/>
      <c r="DG418" s="36"/>
      <c r="DH418" s="36"/>
      <c r="DI418" s="36"/>
      <c r="DJ418" s="36"/>
      <c r="DK418" s="36"/>
      <c r="DL418" s="36"/>
      <c r="DM418" s="36"/>
      <c r="DN418" s="36"/>
      <c r="DO418" s="36"/>
      <c r="DP418" s="36"/>
      <c r="DQ418" s="36"/>
      <c r="DR418" s="36"/>
      <c r="DS418" s="36"/>
      <c r="DT418" s="36"/>
      <c r="DU418" s="36"/>
      <c r="DV418" s="36"/>
      <c r="DW418" s="36"/>
      <c r="DX418" s="36"/>
      <c r="DY418" s="36"/>
    </row>
    <row r="419" spans="84:129" ht="9" customHeight="1" x14ac:dyDescent="0.2">
      <c r="CF419" s="36"/>
      <c r="CG419" s="36"/>
      <c r="CH419" s="36"/>
      <c r="CI419" s="36"/>
      <c r="CJ419" s="36"/>
      <c r="CK419" s="36"/>
      <c r="CL419" s="36"/>
      <c r="CM419" s="37"/>
      <c r="CN419" s="36"/>
      <c r="CO419" s="36"/>
      <c r="CP419" s="36"/>
      <c r="CQ419" s="36"/>
      <c r="CR419" s="36"/>
      <c r="CS419" s="36"/>
      <c r="CT419" s="36"/>
      <c r="CU419" s="36"/>
      <c r="CV419" s="36"/>
      <c r="CW419" s="36"/>
      <c r="CX419" s="36"/>
      <c r="CY419" s="36"/>
      <c r="CZ419" s="36"/>
      <c r="DA419" s="36"/>
      <c r="DB419" s="36"/>
      <c r="DC419" s="36"/>
      <c r="DD419" s="36"/>
      <c r="DE419" s="36"/>
      <c r="DF419" s="36"/>
      <c r="DG419" s="36"/>
      <c r="DH419" s="36"/>
      <c r="DI419" s="36"/>
      <c r="DJ419" s="36"/>
      <c r="DK419" s="36"/>
      <c r="DL419" s="36"/>
      <c r="DM419" s="36"/>
      <c r="DN419" s="36"/>
      <c r="DO419" s="36"/>
      <c r="DP419" s="36"/>
      <c r="DQ419" s="36"/>
      <c r="DR419" s="36"/>
      <c r="DS419" s="36"/>
      <c r="DT419" s="36"/>
      <c r="DU419" s="36"/>
      <c r="DV419" s="36"/>
      <c r="DW419" s="36"/>
      <c r="DX419" s="36"/>
      <c r="DY419" s="36"/>
    </row>
    <row r="420" spans="84:129" ht="9" customHeight="1" x14ac:dyDescent="0.2">
      <c r="CF420" s="36"/>
      <c r="CG420" s="36"/>
      <c r="CH420" s="36"/>
      <c r="CI420" s="36"/>
      <c r="CJ420" s="36"/>
      <c r="CK420" s="36"/>
      <c r="CL420" s="36"/>
      <c r="CM420" s="37"/>
      <c r="CN420" s="36"/>
      <c r="CO420" s="36"/>
      <c r="CP420" s="36"/>
      <c r="CQ420" s="36"/>
      <c r="CR420" s="36"/>
      <c r="CS420" s="36"/>
      <c r="CT420" s="36"/>
      <c r="CU420" s="36"/>
      <c r="CV420" s="36"/>
      <c r="CW420" s="36"/>
      <c r="CX420" s="36"/>
      <c r="CY420" s="36"/>
      <c r="CZ420" s="36"/>
      <c r="DA420" s="36"/>
      <c r="DB420" s="36"/>
      <c r="DC420" s="36"/>
      <c r="DD420" s="36"/>
      <c r="DE420" s="36"/>
      <c r="DF420" s="36"/>
      <c r="DG420" s="36"/>
      <c r="DH420" s="36"/>
      <c r="DI420" s="36"/>
      <c r="DJ420" s="36"/>
      <c r="DK420" s="36"/>
      <c r="DL420" s="36"/>
      <c r="DM420" s="36"/>
      <c r="DN420" s="36"/>
      <c r="DO420" s="36"/>
      <c r="DP420" s="36"/>
      <c r="DQ420" s="36"/>
      <c r="DR420" s="36"/>
      <c r="DS420" s="36"/>
      <c r="DT420" s="36"/>
      <c r="DU420" s="36"/>
      <c r="DV420" s="36"/>
      <c r="DW420" s="36"/>
      <c r="DX420" s="36"/>
      <c r="DY420" s="36"/>
    </row>
    <row r="421" spans="84:129" ht="9" customHeight="1" x14ac:dyDescent="0.2">
      <c r="CF421" s="36"/>
      <c r="CG421" s="36"/>
      <c r="CH421" s="36"/>
      <c r="CI421" s="36"/>
      <c r="CJ421" s="36"/>
      <c r="CK421" s="36"/>
      <c r="CL421" s="36"/>
      <c r="CM421" s="37"/>
      <c r="CN421" s="36"/>
      <c r="CO421" s="36"/>
      <c r="CP421" s="36"/>
      <c r="CQ421" s="36"/>
      <c r="CR421" s="36"/>
      <c r="CS421" s="36"/>
      <c r="CT421" s="36"/>
      <c r="CU421" s="36"/>
      <c r="CV421" s="36"/>
      <c r="CW421" s="36"/>
      <c r="CX421" s="36"/>
      <c r="CY421" s="36"/>
      <c r="CZ421" s="36"/>
      <c r="DA421" s="36"/>
      <c r="DB421" s="36"/>
      <c r="DC421" s="36"/>
      <c r="DD421" s="36"/>
      <c r="DE421" s="36"/>
      <c r="DF421" s="36"/>
      <c r="DG421" s="36"/>
      <c r="DH421" s="36"/>
      <c r="DI421" s="36"/>
      <c r="DJ421" s="36"/>
      <c r="DK421" s="36"/>
      <c r="DL421" s="36"/>
      <c r="DM421" s="36"/>
      <c r="DN421" s="36"/>
      <c r="DO421" s="36"/>
      <c r="DP421" s="36"/>
      <c r="DQ421" s="36"/>
      <c r="DR421" s="36"/>
      <c r="DS421" s="36"/>
      <c r="DT421" s="36"/>
      <c r="DU421" s="36"/>
      <c r="DV421" s="36"/>
      <c r="DW421" s="36"/>
      <c r="DX421" s="36"/>
      <c r="DY421" s="36"/>
    </row>
    <row r="422" spans="84:129" ht="9" customHeight="1" x14ac:dyDescent="0.2">
      <c r="CF422" s="36"/>
      <c r="CG422" s="36"/>
      <c r="CH422" s="36"/>
      <c r="CI422" s="36"/>
      <c r="CJ422" s="36"/>
      <c r="CK422" s="36"/>
      <c r="CL422" s="36"/>
      <c r="CM422" s="37"/>
      <c r="CN422" s="36"/>
      <c r="CO422" s="36"/>
      <c r="CP422" s="36"/>
      <c r="CQ422" s="36"/>
      <c r="CR422" s="36"/>
      <c r="CS422" s="36"/>
      <c r="CT422" s="36"/>
      <c r="CU422" s="36"/>
      <c r="CV422" s="36"/>
      <c r="CW422" s="36"/>
      <c r="CX422" s="36"/>
      <c r="CY422" s="36"/>
      <c r="CZ422" s="36"/>
      <c r="DA422" s="36"/>
      <c r="DB422" s="36"/>
      <c r="DC422" s="36"/>
      <c r="DD422" s="36"/>
      <c r="DE422" s="36"/>
      <c r="DF422" s="36"/>
      <c r="DG422" s="36"/>
      <c r="DH422" s="36"/>
      <c r="DI422" s="36"/>
      <c r="DJ422" s="36"/>
      <c r="DK422" s="36"/>
      <c r="DL422" s="36"/>
      <c r="DM422" s="36"/>
      <c r="DN422" s="36"/>
      <c r="DO422" s="36"/>
      <c r="DP422" s="36"/>
      <c r="DQ422" s="36"/>
      <c r="DR422" s="36"/>
      <c r="DS422" s="36"/>
      <c r="DT422" s="36"/>
      <c r="DU422" s="36"/>
      <c r="DV422" s="36"/>
      <c r="DW422" s="36"/>
      <c r="DX422" s="36"/>
      <c r="DY422" s="36"/>
    </row>
    <row r="423" spans="84:129" ht="9" customHeight="1" x14ac:dyDescent="0.2">
      <c r="CF423" s="36"/>
      <c r="CG423" s="36"/>
      <c r="CH423" s="36"/>
      <c r="CI423" s="36"/>
      <c r="CJ423" s="36"/>
      <c r="CK423" s="36"/>
      <c r="CL423" s="36"/>
      <c r="CM423" s="37"/>
      <c r="CN423" s="36"/>
      <c r="CO423" s="36"/>
      <c r="CP423" s="36"/>
      <c r="CQ423" s="36"/>
      <c r="CR423" s="36"/>
      <c r="CS423" s="36"/>
      <c r="CT423" s="36"/>
      <c r="CU423" s="36"/>
      <c r="CV423" s="36"/>
      <c r="CW423" s="36"/>
      <c r="CX423" s="36"/>
      <c r="CY423" s="36"/>
      <c r="CZ423" s="36"/>
      <c r="DA423" s="36"/>
      <c r="DB423" s="36"/>
      <c r="DC423" s="36"/>
      <c r="DD423" s="36"/>
      <c r="DE423" s="36"/>
      <c r="DF423" s="36"/>
      <c r="DG423" s="36"/>
      <c r="DH423" s="36"/>
      <c r="DI423" s="36"/>
      <c r="DJ423" s="36"/>
      <c r="DK423" s="36"/>
      <c r="DL423" s="36"/>
      <c r="DM423" s="36"/>
      <c r="DN423" s="36"/>
      <c r="DO423" s="36"/>
      <c r="DP423" s="36"/>
      <c r="DQ423" s="36"/>
      <c r="DR423" s="36"/>
      <c r="DS423" s="36"/>
      <c r="DT423" s="36"/>
      <c r="DU423" s="36"/>
      <c r="DV423" s="36"/>
      <c r="DW423" s="36"/>
      <c r="DX423" s="36"/>
      <c r="DY423" s="36"/>
    </row>
    <row r="424" spans="84:129" ht="9" customHeight="1" x14ac:dyDescent="0.2">
      <c r="CF424" s="36"/>
      <c r="CG424" s="36"/>
      <c r="CH424" s="36"/>
      <c r="CI424" s="36"/>
      <c r="CJ424" s="36"/>
      <c r="CK424" s="36"/>
      <c r="CL424" s="36"/>
      <c r="CM424" s="37"/>
      <c r="CN424" s="36"/>
      <c r="CO424" s="36"/>
      <c r="CP424" s="36"/>
      <c r="CQ424" s="36"/>
      <c r="CR424" s="36"/>
      <c r="CS424" s="36"/>
      <c r="CT424" s="36"/>
      <c r="CU424" s="36"/>
      <c r="CV424" s="36"/>
      <c r="CW424" s="36"/>
      <c r="CX424" s="36"/>
      <c r="CY424" s="36"/>
      <c r="CZ424" s="36"/>
      <c r="DA424" s="36"/>
      <c r="DB424" s="36"/>
      <c r="DC424" s="36"/>
      <c r="DD424" s="36"/>
      <c r="DE424" s="36"/>
      <c r="DF424" s="36"/>
      <c r="DG424" s="36"/>
      <c r="DH424" s="36"/>
      <c r="DI424" s="36"/>
      <c r="DJ424" s="36"/>
      <c r="DK424" s="36"/>
      <c r="DL424" s="36"/>
      <c r="DM424" s="36"/>
      <c r="DN424" s="36"/>
      <c r="DO424" s="36"/>
      <c r="DP424" s="36"/>
      <c r="DQ424" s="36"/>
      <c r="DR424" s="36"/>
      <c r="DS424" s="36"/>
      <c r="DT424" s="36"/>
      <c r="DU424" s="36"/>
      <c r="DV424" s="36"/>
      <c r="DW424" s="36"/>
      <c r="DX424" s="36"/>
      <c r="DY424" s="36"/>
    </row>
    <row r="425" spans="84:129" ht="9" customHeight="1" x14ac:dyDescent="0.2">
      <c r="CF425" s="36"/>
      <c r="CG425" s="36"/>
      <c r="CH425" s="36"/>
      <c r="CI425" s="36"/>
      <c r="CJ425" s="36"/>
      <c r="CK425" s="36"/>
      <c r="CL425" s="36"/>
      <c r="CM425" s="37"/>
      <c r="CN425" s="36"/>
      <c r="CO425" s="36"/>
      <c r="CP425" s="36"/>
      <c r="CQ425" s="36"/>
      <c r="CR425" s="36"/>
      <c r="CS425" s="36"/>
      <c r="CT425" s="36"/>
      <c r="CU425" s="36"/>
      <c r="CV425" s="36"/>
      <c r="CW425" s="36"/>
      <c r="CX425" s="36"/>
      <c r="CY425" s="36"/>
      <c r="CZ425" s="36"/>
      <c r="DA425" s="36"/>
      <c r="DB425" s="36"/>
      <c r="DC425" s="36"/>
      <c r="DD425" s="36"/>
      <c r="DE425" s="36"/>
      <c r="DF425" s="36"/>
      <c r="DG425" s="36"/>
      <c r="DH425" s="36"/>
      <c r="DI425" s="36"/>
      <c r="DJ425" s="36"/>
      <c r="DK425" s="36"/>
      <c r="DL425" s="36"/>
      <c r="DM425" s="36"/>
      <c r="DN425" s="36"/>
      <c r="DO425" s="36"/>
      <c r="DP425" s="36"/>
      <c r="DQ425" s="36"/>
      <c r="DR425" s="36"/>
      <c r="DS425" s="36"/>
      <c r="DT425" s="36"/>
      <c r="DU425" s="36"/>
      <c r="DV425" s="36"/>
      <c r="DW425" s="36"/>
      <c r="DX425" s="36"/>
      <c r="DY425" s="36"/>
    </row>
    <row r="426" spans="84:129" ht="9" customHeight="1" x14ac:dyDescent="0.2">
      <c r="CF426" s="36"/>
      <c r="CG426" s="36"/>
      <c r="CH426" s="36"/>
      <c r="CI426" s="36"/>
      <c r="CJ426" s="36"/>
      <c r="CK426" s="36"/>
      <c r="CL426" s="36"/>
      <c r="CM426" s="37"/>
      <c r="CN426" s="36"/>
      <c r="CO426" s="36"/>
      <c r="CP426" s="36"/>
      <c r="CQ426" s="36"/>
      <c r="CR426" s="36"/>
      <c r="CS426" s="36"/>
      <c r="CT426" s="36"/>
      <c r="CU426" s="36"/>
      <c r="CV426" s="36"/>
      <c r="CW426" s="36"/>
      <c r="CX426" s="36"/>
      <c r="CY426" s="36"/>
      <c r="CZ426" s="36"/>
      <c r="DA426" s="36"/>
      <c r="DB426" s="36"/>
      <c r="DC426" s="36"/>
      <c r="DD426" s="36"/>
      <c r="DE426" s="36"/>
      <c r="DF426" s="36"/>
      <c r="DG426" s="36"/>
      <c r="DH426" s="36"/>
      <c r="DI426" s="36"/>
      <c r="DJ426" s="36"/>
      <c r="DK426" s="36"/>
      <c r="DL426" s="36"/>
      <c r="DM426" s="36"/>
      <c r="DN426" s="36"/>
      <c r="DO426" s="36"/>
      <c r="DP426" s="36"/>
      <c r="DQ426" s="36"/>
      <c r="DR426" s="36"/>
      <c r="DS426" s="36"/>
      <c r="DT426" s="36"/>
      <c r="DU426" s="36"/>
      <c r="DV426" s="36"/>
      <c r="DW426" s="36"/>
      <c r="DX426" s="36"/>
      <c r="DY426" s="36"/>
    </row>
    <row r="427" spans="84:129" ht="9" customHeight="1" x14ac:dyDescent="0.2">
      <c r="CF427" s="36"/>
      <c r="CG427" s="36"/>
      <c r="CH427" s="36"/>
      <c r="CI427" s="36"/>
      <c r="CJ427" s="36"/>
      <c r="CK427" s="36"/>
      <c r="CL427" s="36"/>
      <c r="CM427" s="37"/>
      <c r="CN427" s="36"/>
      <c r="CO427" s="36"/>
      <c r="CP427" s="36"/>
      <c r="CQ427" s="36"/>
      <c r="CR427" s="36"/>
      <c r="CS427" s="36"/>
      <c r="CT427" s="36"/>
      <c r="CU427" s="36"/>
      <c r="CV427" s="36"/>
      <c r="CW427" s="36"/>
      <c r="CX427" s="36"/>
      <c r="CY427" s="36"/>
      <c r="CZ427" s="36"/>
      <c r="DA427" s="36"/>
      <c r="DB427" s="36"/>
      <c r="DC427" s="36"/>
      <c r="DD427" s="36"/>
      <c r="DE427" s="36"/>
      <c r="DF427" s="36"/>
      <c r="DG427" s="36"/>
      <c r="DH427" s="36"/>
      <c r="DI427" s="36"/>
      <c r="DJ427" s="36"/>
      <c r="DK427" s="36"/>
      <c r="DL427" s="36"/>
      <c r="DM427" s="36"/>
      <c r="DN427" s="36"/>
      <c r="DO427" s="36"/>
      <c r="DP427" s="36"/>
      <c r="DQ427" s="36"/>
      <c r="DR427" s="36"/>
      <c r="DS427" s="36"/>
      <c r="DT427" s="36"/>
      <c r="DU427" s="36"/>
      <c r="DV427" s="36"/>
      <c r="DW427" s="36"/>
      <c r="DX427" s="36"/>
      <c r="DY427" s="36"/>
    </row>
    <row r="428" spans="84:129" ht="9" customHeight="1" x14ac:dyDescent="0.2">
      <c r="CF428" s="36"/>
      <c r="CG428" s="36"/>
      <c r="CH428" s="36"/>
      <c r="CI428" s="36"/>
      <c r="CJ428" s="36"/>
      <c r="CK428" s="36"/>
      <c r="CL428" s="36"/>
      <c r="CM428" s="37"/>
      <c r="CN428" s="36"/>
      <c r="CO428" s="36"/>
      <c r="CP428" s="36"/>
      <c r="CQ428" s="36"/>
      <c r="CR428" s="36"/>
      <c r="CS428" s="36"/>
      <c r="CT428" s="36"/>
      <c r="CU428" s="36"/>
      <c r="CV428" s="36"/>
      <c r="CW428" s="36"/>
      <c r="CX428" s="36"/>
      <c r="CY428" s="36"/>
      <c r="CZ428" s="36"/>
      <c r="DA428" s="36"/>
      <c r="DB428" s="36"/>
      <c r="DC428" s="36"/>
      <c r="DD428" s="36"/>
      <c r="DE428" s="36"/>
      <c r="DF428" s="36"/>
      <c r="DG428" s="36"/>
      <c r="DH428" s="36"/>
      <c r="DI428" s="36"/>
      <c r="DJ428" s="36"/>
      <c r="DK428" s="36"/>
      <c r="DL428" s="36"/>
      <c r="DM428" s="36"/>
      <c r="DN428" s="36"/>
      <c r="DO428" s="36"/>
      <c r="DP428" s="36"/>
      <c r="DQ428" s="36"/>
      <c r="DR428" s="36"/>
      <c r="DS428" s="36"/>
      <c r="DT428" s="36"/>
      <c r="DU428" s="36"/>
      <c r="DV428" s="36"/>
      <c r="DW428" s="36"/>
      <c r="DX428" s="36"/>
      <c r="DY428" s="36"/>
    </row>
    <row r="429" spans="84:129" ht="9" customHeight="1" x14ac:dyDescent="0.2">
      <c r="CF429" s="36"/>
      <c r="CG429" s="36"/>
      <c r="CH429" s="36"/>
      <c r="CI429" s="36"/>
      <c r="CJ429" s="36"/>
      <c r="CK429" s="36"/>
      <c r="CL429" s="36"/>
      <c r="CM429" s="37"/>
      <c r="CN429" s="36"/>
      <c r="CO429" s="36"/>
      <c r="CP429" s="36"/>
      <c r="CQ429" s="36"/>
      <c r="CR429" s="36"/>
      <c r="CS429" s="36"/>
      <c r="CT429" s="36"/>
      <c r="CU429" s="36"/>
      <c r="CV429" s="36"/>
      <c r="CW429" s="36"/>
      <c r="CX429" s="36"/>
      <c r="CY429" s="36"/>
      <c r="CZ429" s="36"/>
      <c r="DA429" s="36"/>
      <c r="DB429" s="36"/>
      <c r="DC429" s="36"/>
      <c r="DD429" s="36"/>
      <c r="DE429" s="36"/>
      <c r="DF429" s="36"/>
      <c r="DG429" s="36"/>
      <c r="DH429" s="36"/>
      <c r="DI429" s="36"/>
      <c r="DJ429" s="36"/>
      <c r="DK429" s="36"/>
      <c r="DL429" s="36"/>
      <c r="DM429" s="36"/>
      <c r="DN429" s="36"/>
      <c r="DO429" s="36"/>
      <c r="DP429" s="36"/>
      <c r="DQ429" s="36"/>
      <c r="DR429" s="36"/>
      <c r="DS429" s="36"/>
      <c r="DT429" s="36"/>
      <c r="DU429" s="36"/>
      <c r="DV429" s="36"/>
      <c r="DW429" s="36"/>
      <c r="DX429" s="36"/>
      <c r="DY429" s="36"/>
    </row>
    <row r="430" spans="84:129" ht="9" customHeight="1" x14ac:dyDescent="0.2">
      <c r="CF430" s="36"/>
      <c r="CG430" s="36"/>
      <c r="CH430" s="36"/>
      <c r="CI430" s="36"/>
      <c r="CJ430" s="36"/>
      <c r="CK430" s="36"/>
      <c r="CL430" s="36"/>
      <c r="CM430" s="37"/>
      <c r="CN430" s="36"/>
      <c r="CO430" s="36"/>
      <c r="CP430" s="36"/>
      <c r="CQ430" s="36"/>
      <c r="CR430" s="36"/>
      <c r="CS430" s="36"/>
      <c r="CT430" s="36"/>
      <c r="CU430" s="36"/>
      <c r="CV430" s="36"/>
      <c r="CW430" s="36"/>
      <c r="CX430" s="36"/>
      <c r="CY430" s="36"/>
      <c r="CZ430" s="36"/>
      <c r="DA430" s="36"/>
      <c r="DB430" s="36"/>
      <c r="DC430" s="36"/>
      <c r="DD430" s="36"/>
      <c r="DE430" s="36"/>
      <c r="DF430" s="36"/>
      <c r="DG430" s="36"/>
      <c r="DH430" s="36"/>
      <c r="DI430" s="36"/>
      <c r="DJ430" s="36"/>
      <c r="DK430" s="36"/>
      <c r="DL430" s="36"/>
      <c r="DM430" s="36"/>
      <c r="DN430" s="36"/>
      <c r="DO430" s="36"/>
      <c r="DP430" s="36"/>
      <c r="DQ430" s="36"/>
      <c r="DR430" s="36"/>
      <c r="DS430" s="36"/>
      <c r="DT430" s="36"/>
      <c r="DU430" s="36"/>
      <c r="DV430" s="36"/>
      <c r="DW430" s="36"/>
      <c r="DX430" s="36"/>
      <c r="DY430" s="36"/>
    </row>
    <row r="431" spans="84:129" ht="9" customHeight="1" x14ac:dyDescent="0.2">
      <c r="CF431" s="36"/>
      <c r="CG431" s="36"/>
      <c r="CH431" s="36"/>
      <c r="CI431" s="36"/>
      <c r="CJ431" s="36"/>
      <c r="CK431" s="36"/>
      <c r="CL431" s="36"/>
      <c r="CM431" s="37"/>
      <c r="CN431" s="36"/>
      <c r="CO431" s="36"/>
      <c r="CP431" s="36"/>
      <c r="CQ431" s="36"/>
      <c r="CR431" s="36"/>
      <c r="CS431" s="36"/>
      <c r="CT431" s="36"/>
      <c r="CU431" s="36"/>
      <c r="CV431" s="36"/>
      <c r="CW431" s="36"/>
      <c r="CX431" s="36"/>
      <c r="CY431" s="36"/>
      <c r="CZ431" s="36"/>
      <c r="DA431" s="36"/>
      <c r="DB431" s="36"/>
      <c r="DC431" s="36"/>
      <c r="DD431" s="36"/>
      <c r="DE431" s="36"/>
      <c r="DF431" s="36"/>
      <c r="DG431" s="36"/>
      <c r="DH431" s="36"/>
      <c r="DI431" s="36"/>
      <c r="DJ431" s="36"/>
      <c r="DK431" s="36"/>
      <c r="DL431" s="36"/>
      <c r="DM431" s="36"/>
      <c r="DN431" s="36"/>
      <c r="DO431" s="36"/>
      <c r="DP431" s="36"/>
      <c r="DQ431" s="36"/>
      <c r="DR431" s="36"/>
      <c r="DS431" s="36"/>
      <c r="DT431" s="36"/>
      <c r="DU431" s="36"/>
      <c r="DV431" s="36"/>
      <c r="DW431" s="36"/>
      <c r="DX431" s="36"/>
      <c r="DY431" s="36"/>
    </row>
    <row r="432" spans="84:129" ht="9" customHeight="1" x14ac:dyDescent="0.2">
      <c r="CF432" s="36"/>
      <c r="CG432" s="36"/>
      <c r="CH432" s="36"/>
      <c r="CI432" s="36"/>
      <c r="CJ432" s="36"/>
      <c r="CK432" s="36"/>
      <c r="CL432" s="36"/>
      <c r="CM432" s="37"/>
      <c r="CN432" s="36"/>
      <c r="CO432" s="36"/>
      <c r="CP432" s="36"/>
      <c r="CQ432" s="36"/>
      <c r="CR432" s="36"/>
      <c r="CS432" s="36"/>
      <c r="CT432" s="36"/>
      <c r="CU432" s="36"/>
      <c r="CV432" s="36"/>
      <c r="CW432" s="36"/>
      <c r="CX432" s="36"/>
      <c r="CY432" s="36"/>
      <c r="CZ432" s="36"/>
      <c r="DA432" s="36"/>
      <c r="DB432" s="36"/>
      <c r="DC432" s="36"/>
      <c r="DD432" s="36"/>
      <c r="DE432" s="36"/>
      <c r="DF432" s="36"/>
      <c r="DG432" s="36"/>
      <c r="DH432" s="36"/>
      <c r="DI432" s="36"/>
      <c r="DJ432" s="36"/>
      <c r="DK432" s="36"/>
      <c r="DL432" s="36"/>
      <c r="DM432" s="36"/>
      <c r="DN432" s="36"/>
      <c r="DO432" s="36"/>
      <c r="DP432" s="36"/>
      <c r="DQ432" s="36"/>
      <c r="DR432" s="36"/>
      <c r="DS432" s="36"/>
      <c r="DT432" s="36"/>
      <c r="DU432" s="36"/>
      <c r="DV432" s="36"/>
      <c r="DW432" s="36"/>
      <c r="DX432" s="36"/>
      <c r="DY432" s="36"/>
    </row>
    <row r="433" spans="84:129" ht="9" customHeight="1" x14ac:dyDescent="0.2">
      <c r="CF433" s="36"/>
      <c r="CG433" s="36"/>
      <c r="CH433" s="36"/>
      <c r="CI433" s="36"/>
      <c r="CJ433" s="36"/>
      <c r="CK433" s="36"/>
      <c r="CL433" s="36"/>
      <c r="CM433" s="37"/>
      <c r="CN433" s="36"/>
      <c r="CO433" s="36"/>
      <c r="CP433" s="36"/>
      <c r="CQ433" s="36"/>
      <c r="CR433" s="36"/>
      <c r="CS433" s="36"/>
      <c r="CT433" s="36"/>
      <c r="CU433" s="36"/>
      <c r="CV433" s="36"/>
      <c r="CW433" s="36"/>
      <c r="CX433" s="36"/>
      <c r="CY433" s="36"/>
      <c r="CZ433" s="36"/>
      <c r="DA433" s="36"/>
      <c r="DB433" s="36"/>
      <c r="DC433" s="36"/>
      <c r="DD433" s="36"/>
      <c r="DE433" s="36"/>
      <c r="DF433" s="36"/>
      <c r="DG433" s="36"/>
      <c r="DH433" s="36"/>
      <c r="DI433" s="36"/>
      <c r="DJ433" s="36"/>
      <c r="DK433" s="36"/>
      <c r="DL433" s="36"/>
      <c r="DM433" s="36"/>
      <c r="DN433" s="36"/>
      <c r="DO433" s="36"/>
      <c r="DP433" s="36"/>
      <c r="DQ433" s="36"/>
      <c r="DR433" s="36"/>
      <c r="DS433" s="36"/>
      <c r="DT433" s="36"/>
      <c r="DU433" s="36"/>
      <c r="DV433" s="36"/>
      <c r="DW433" s="36"/>
      <c r="DX433" s="36"/>
      <c r="DY433" s="36"/>
    </row>
    <row r="434" spans="84:129" ht="9" customHeight="1" x14ac:dyDescent="0.2">
      <c r="CF434" s="36"/>
      <c r="CG434" s="36"/>
      <c r="CH434" s="36"/>
      <c r="CI434" s="36"/>
      <c r="CJ434" s="36"/>
      <c r="CK434" s="36"/>
      <c r="CL434" s="36"/>
      <c r="CM434" s="37"/>
      <c r="CN434" s="36"/>
      <c r="CO434" s="36"/>
      <c r="CP434" s="36"/>
      <c r="CQ434" s="36"/>
      <c r="CR434" s="36"/>
      <c r="CS434" s="36"/>
      <c r="CT434" s="36"/>
      <c r="CU434" s="36"/>
      <c r="CV434" s="36"/>
      <c r="CW434" s="36"/>
      <c r="CX434" s="36"/>
      <c r="CY434" s="36"/>
      <c r="CZ434" s="36"/>
      <c r="DA434" s="36"/>
      <c r="DB434" s="36"/>
      <c r="DC434" s="36"/>
      <c r="DD434" s="36"/>
      <c r="DE434" s="36"/>
      <c r="DF434" s="36"/>
      <c r="DG434" s="36"/>
      <c r="DH434" s="36"/>
      <c r="DI434" s="36"/>
      <c r="DJ434" s="36"/>
      <c r="DK434" s="36"/>
      <c r="DL434" s="36"/>
      <c r="DM434" s="36"/>
      <c r="DN434" s="36"/>
      <c r="DO434" s="36"/>
      <c r="DP434" s="36"/>
      <c r="DQ434" s="36"/>
      <c r="DR434" s="36"/>
      <c r="DS434" s="36"/>
      <c r="DT434" s="36"/>
      <c r="DU434" s="36"/>
      <c r="DV434" s="36"/>
      <c r="DW434" s="36"/>
      <c r="DX434" s="36"/>
      <c r="DY434" s="36"/>
    </row>
    <row r="435" spans="84:129" ht="9" customHeight="1" x14ac:dyDescent="0.2">
      <c r="CF435" s="36"/>
      <c r="CG435" s="36"/>
      <c r="CH435" s="36"/>
      <c r="CI435" s="36"/>
      <c r="CJ435" s="36"/>
      <c r="CK435" s="36"/>
      <c r="CL435" s="36"/>
      <c r="CM435" s="37"/>
      <c r="CN435" s="36"/>
      <c r="CO435" s="36"/>
      <c r="CP435" s="36"/>
      <c r="CQ435" s="36"/>
      <c r="CR435" s="36"/>
      <c r="CS435" s="36"/>
      <c r="CT435" s="36"/>
      <c r="CU435" s="36"/>
      <c r="CV435" s="36"/>
      <c r="CW435" s="36"/>
      <c r="CX435" s="36"/>
      <c r="CY435" s="36"/>
      <c r="CZ435" s="36"/>
      <c r="DA435" s="36"/>
      <c r="DB435" s="36"/>
      <c r="DC435" s="36"/>
      <c r="DD435" s="36"/>
      <c r="DE435" s="36"/>
      <c r="DF435" s="36"/>
      <c r="DG435" s="36"/>
      <c r="DH435" s="36"/>
      <c r="DI435" s="36"/>
      <c r="DJ435" s="36"/>
      <c r="DK435" s="36"/>
      <c r="DL435" s="36"/>
      <c r="DM435" s="36"/>
      <c r="DN435" s="36"/>
      <c r="DO435" s="36"/>
      <c r="DP435" s="36"/>
      <c r="DQ435" s="36"/>
      <c r="DR435" s="36"/>
      <c r="DS435" s="36"/>
      <c r="DT435" s="36"/>
      <c r="DU435" s="36"/>
      <c r="DV435" s="36"/>
      <c r="DW435" s="36"/>
      <c r="DX435" s="36"/>
      <c r="DY435" s="36"/>
    </row>
    <row r="436" spans="84:129" ht="9" customHeight="1" x14ac:dyDescent="0.2">
      <c r="CF436" s="36"/>
      <c r="CG436" s="36"/>
      <c r="CH436" s="36"/>
      <c r="CI436" s="36"/>
      <c r="CJ436" s="36"/>
      <c r="CK436" s="36"/>
      <c r="CL436" s="36"/>
      <c r="CM436" s="37"/>
      <c r="CN436" s="36"/>
      <c r="CO436" s="36"/>
      <c r="CP436" s="36"/>
      <c r="CQ436" s="36"/>
      <c r="CR436" s="36"/>
      <c r="CS436" s="36"/>
      <c r="CT436" s="36"/>
      <c r="CU436" s="36"/>
      <c r="CV436" s="36"/>
      <c r="CW436" s="36"/>
      <c r="CX436" s="36"/>
      <c r="CY436" s="36"/>
      <c r="CZ436" s="36"/>
      <c r="DA436" s="36"/>
      <c r="DB436" s="36"/>
      <c r="DC436" s="36"/>
      <c r="DD436" s="36"/>
      <c r="DE436" s="36"/>
      <c r="DF436" s="36"/>
      <c r="DG436" s="36"/>
      <c r="DH436" s="36"/>
      <c r="DI436" s="36"/>
      <c r="DJ436" s="36"/>
      <c r="DK436" s="36"/>
      <c r="DL436" s="36"/>
      <c r="DM436" s="36"/>
      <c r="DN436" s="36"/>
      <c r="DO436" s="36"/>
      <c r="DP436" s="36"/>
      <c r="DQ436" s="36"/>
      <c r="DR436" s="36"/>
      <c r="DS436" s="36"/>
      <c r="DT436" s="36"/>
      <c r="DU436" s="36"/>
      <c r="DV436" s="36"/>
      <c r="DW436" s="36"/>
      <c r="DX436" s="36"/>
      <c r="DY436" s="36"/>
    </row>
    <row r="437" spans="84:129" ht="9" customHeight="1" x14ac:dyDescent="0.2">
      <c r="CF437" s="36"/>
      <c r="CG437" s="36"/>
      <c r="CH437" s="36"/>
      <c r="CI437" s="36"/>
      <c r="CJ437" s="36"/>
      <c r="CK437" s="36"/>
      <c r="CL437" s="36"/>
      <c r="CM437" s="37"/>
      <c r="CN437" s="36"/>
      <c r="CO437" s="36"/>
      <c r="CP437" s="36"/>
      <c r="CQ437" s="36"/>
      <c r="CR437" s="36"/>
      <c r="CS437" s="36"/>
      <c r="CT437" s="36"/>
      <c r="CU437" s="36"/>
      <c r="CV437" s="36"/>
      <c r="CW437" s="36"/>
      <c r="CX437" s="36"/>
      <c r="CY437" s="36"/>
      <c r="CZ437" s="36"/>
      <c r="DA437" s="36"/>
      <c r="DB437" s="36"/>
      <c r="DC437" s="36"/>
      <c r="DD437" s="36"/>
      <c r="DE437" s="36"/>
      <c r="DF437" s="36"/>
      <c r="DG437" s="36"/>
      <c r="DH437" s="36"/>
      <c r="DI437" s="36"/>
      <c r="DJ437" s="36"/>
      <c r="DK437" s="36"/>
      <c r="DL437" s="36"/>
      <c r="DM437" s="36"/>
      <c r="DN437" s="36"/>
      <c r="DO437" s="36"/>
      <c r="DP437" s="36"/>
      <c r="DQ437" s="36"/>
      <c r="DR437" s="36"/>
      <c r="DS437" s="36"/>
      <c r="DT437" s="36"/>
      <c r="DU437" s="36"/>
      <c r="DV437" s="36"/>
      <c r="DW437" s="36"/>
      <c r="DX437" s="36"/>
      <c r="DY437" s="36"/>
    </row>
    <row r="438" spans="84:129" ht="9" customHeight="1" x14ac:dyDescent="0.2">
      <c r="CF438" s="36"/>
      <c r="CG438" s="36"/>
      <c r="CH438" s="36"/>
      <c r="CI438" s="36"/>
      <c r="CJ438" s="36"/>
      <c r="CK438" s="36"/>
      <c r="CL438" s="36"/>
      <c r="CM438" s="37"/>
      <c r="CN438" s="36"/>
      <c r="CO438" s="36"/>
      <c r="CP438" s="36"/>
      <c r="CQ438" s="36"/>
      <c r="CR438" s="36"/>
      <c r="CS438" s="36"/>
      <c r="CT438" s="36"/>
      <c r="CU438" s="36"/>
      <c r="CV438" s="36"/>
      <c r="CW438" s="36"/>
      <c r="CX438" s="36"/>
      <c r="CY438" s="36"/>
      <c r="CZ438" s="36"/>
      <c r="DA438" s="36"/>
      <c r="DB438" s="36"/>
      <c r="DC438" s="36"/>
      <c r="DD438" s="36"/>
      <c r="DE438" s="36"/>
      <c r="DF438" s="36"/>
      <c r="DG438" s="36"/>
      <c r="DH438" s="36"/>
      <c r="DI438" s="36"/>
      <c r="DJ438" s="36"/>
      <c r="DK438" s="36"/>
      <c r="DL438" s="36"/>
      <c r="DM438" s="36"/>
      <c r="DN438" s="36"/>
      <c r="DO438" s="36"/>
      <c r="DP438" s="36"/>
      <c r="DQ438" s="36"/>
      <c r="DR438" s="36"/>
      <c r="DS438" s="36"/>
      <c r="DT438" s="36"/>
      <c r="DU438" s="36"/>
      <c r="DV438" s="36"/>
      <c r="DW438" s="36"/>
      <c r="DX438" s="36"/>
      <c r="DY438" s="36"/>
    </row>
    <row r="439" spans="84:129" ht="9" customHeight="1" x14ac:dyDescent="0.2">
      <c r="CF439" s="36"/>
      <c r="CG439" s="36"/>
      <c r="CH439" s="36"/>
      <c r="CI439" s="36"/>
      <c r="CJ439" s="36"/>
      <c r="CK439" s="36"/>
      <c r="CL439" s="36"/>
      <c r="CM439" s="37"/>
      <c r="CN439" s="36"/>
      <c r="CO439" s="36"/>
      <c r="CP439" s="36"/>
      <c r="CQ439" s="36"/>
      <c r="CR439" s="36"/>
      <c r="CS439" s="36"/>
      <c r="CT439" s="36"/>
      <c r="CU439" s="36"/>
      <c r="CV439" s="36"/>
      <c r="CW439" s="36"/>
      <c r="CX439" s="36"/>
      <c r="CY439" s="36"/>
      <c r="CZ439" s="36"/>
      <c r="DA439" s="36"/>
      <c r="DB439" s="36"/>
      <c r="DC439" s="36"/>
      <c r="DD439" s="36"/>
      <c r="DE439" s="36"/>
      <c r="DF439" s="36"/>
      <c r="DG439" s="36"/>
      <c r="DH439" s="36"/>
      <c r="DI439" s="36"/>
      <c r="DJ439" s="36"/>
      <c r="DK439" s="36"/>
      <c r="DL439" s="36"/>
      <c r="DM439" s="36"/>
      <c r="DN439" s="36"/>
      <c r="DO439" s="36"/>
      <c r="DP439" s="36"/>
      <c r="DQ439" s="36"/>
      <c r="DR439" s="36"/>
      <c r="DS439" s="36"/>
      <c r="DT439" s="36"/>
      <c r="DU439" s="36"/>
      <c r="DV439" s="36"/>
      <c r="DW439" s="36"/>
      <c r="DX439" s="36"/>
      <c r="DY439" s="36"/>
    </row>
    <row r="440" spans="84:129" ht="9" customHeight="1" x14ac:dyDescent="0.2">
      <c r="CF440" s="36"/>
      <c r="CG440" s="36"/>
      <c r="CH440" s="36"/>
      <c r="CI440" s="36"/>
      <c r="CJ440" s="36"/>
      <c r="CK440" s="36"/>
      <c r="CL440" s="36"/>
      <c r="CM440" s="37"/>
      <c r="CN440" s="36"/>
      <c r="CO440" s="36"/>
      <c r="CP440" s="36"/>
      <c r="CQ440" s="36"/>
      <c r="CR440" s="36"/>
      <c r="CS440" s="36"/>
      <c r="CT440" s="36"/>
      <c r="CU440" s="36"/>
      <c r="CV440" s="36"/>
      <c r="CW440" s="36"/>
      <c r="CX440" s="36"/>
      <c r="CY440" s="36"/>
      <c r="CZ440" s="36"/>
      <c r="DA440" s="36"/>
      <c r="DB440" s="36"/>
      <c r="DC440" s="36"/>
      <c r="DD440" s="36"/>
      <c r="DE440" s="36"/>
      <c r="DF440" s="36"/>
      <c r="DG440" s="36"/>
      <c r="DH440" s="36"/>
      <c r="DI440" s="36"/>
      <c r="DJ440" s="36"/>
      <c r="DK440" s="36"/>
      <c r="DL440" s="36"/>
      <c r="DM440" s="36"/>
      <c r="DN440" s="36"/>
      <c r="DO440" s="36"/>
      <c r="DP440" s="36"/>
      <c r="DQ440" s="36"/>
      <c r="DR440" s="36"/>
      <c r="DS440" s="36"/>
      <c r="DT440" s="36"/>
      <c r="DU440" s="36"/>
      <c r="DV440" s="36"/>
      <c r="DW440" s="36"/>
      <c r="DX440" s="36"/>
      <c r="DY440" s="36"/>
    </row>
    <row r="441" spans="84:129" ht="9" customHeight="1" x14ac:dyDescent="0.2">
      <c r="CF441" s="36"/>
      <c r="CG441" s="36"/>
      <c r="CH441" s="36"/>
      <c r="CI441" s="36"/>
      <c r="CJ441" s="36"/>
      <c r="CK441" s="36"/>
      <c r="CL441" s="36"/>
      <c r="CM441" s="37"/>
      <c r="CN441" s="36"/>
      <c r="CO441" s="36"/>
      <c r="CP441" s="36"/>
      <c r="CQ441" s="36"/>
      <c r="CR441" s="36"/>
      <c r="CS441" s="36"/>
      <c r="CT441" s="36"/>
      <c r="CU441" s="36"/>
      <c r="CV441" s="36"/>
      <c r="CW441" s="36"/>
      <c r="CX441" s="36"/>
      <c r="CY441" s="36"/>
      <c r="CZ441" s="36"/>
      <c r="DA441" s="36"/>
      <c r="DB441" s="36"/>
      <c r="DC441" s="36"/>
      <c r="DD441" s="36"/>
      <c r="DE441" s="36"/>
      <c r="DF441" s="36"/>
      <c r="DG441" s="36"/>
      <c r="DH441" s="36"/>
      <c r="DI441" s="36"/>
      <c r="DJ441" s="36"/>
      <c r="DK441" s="36"/>
      <c r="DL441" s="36"/>
      <c r="DM441" s="36"/>
      <c r="DN441" s="36"/>
      <c r="DO441" s="36"/>
      <c r="DP441" s="36"/>
      <c r="DQ441" s="36"/>
      <c r="DR441" s="36"/>
      <c r="DS441" s="36"/>
      <c r="DT441" s="36"/>
      <c r="DU441" s="36"/>
      <c r="DV441" s="36"/>
      <c r="DW441" s="36"/>
      <c r="DX441" s="36"/>
      <c r="DY441" s="36"/>
    </row>
    <row r="442" spans="84:129" ht="9" customHeight="1" x14ac:dyDescent="0.2">
      <c r="CF442" s="36"/>
      <c r="CG442" s="36"/>
      <c r="CH442" s="36"/>
      <c r="CI442" s="36"/>
      <c r="CJ442" s="36"/>
      <c r="CK442" s="36"/>
      <c r="CL442" s="36"/>
      <c r="CM442" s="37"/>
      <c r="CN442" s="36"/>
      <c r="CO442" s="36"/>
      <c r="CP442" s="36"/>
      <c r="CQ442" s="36"/>
      <c r="CR442" s="36"/>
      <c r="CS442" s="36"/>
      <c r="CT442" s="36"/>
      <c r="CU442" s="36"/>
      <c r="CV442" s="36"/>
      <c r="CW442" s="36"/>
      <c r="CX442" s="36"/>
      <c r="CY442" s="36"/>
      <c r="CZ442" s="36"/>
      <c r="DA442" s="36"/>
      <c r="DB442" s="36"/>
      <c r="DC442" s="36"/>
      <c r="DD442" s="36"/>
      <c r="DE442" s="36"/>
      <c r="DF442" s="36"/>
      <c r="DG442" s="36"/>
      <c r="DH442" s="36"/>
      <c r="DI442" s="36"/>
      <c r="DJ442" s="36"/>
      <c r="DK442" s="36"/>
      <c r="DL442" s="36"/>
      <c r="DM442" s="36"/>
      <c r="DN442" s="36"/>
      <c r="DO442" s="36"/>
      <c r="DP442" s="36"/>
      <c r="DQ442" s="36"/>
      <c r="DR442" s="36"/>
      <c r="DS442" s="36"/>
      <c r="DT442" s="36"/>
      <c r="DU442" s="36"/>
      <c r="DV442" s="36"/>
      <c r="DW442" s="36"/>
      <c r="DX442" s="36"/>
      <c r="DY442" s="36"/>
    </row>
    <row r="443" spans="84:129" ht="9" customHeight="1" x14ac:dyDescent="0.2">
      <c r="CF443" s="36"/>
      <c r="CG443" s="36"/>
      <c r="CH443" s="36"/>
      <c r="CI443" s="36"/>
      <c r="CJ443" s="36"/>
      <c r="CK443" s="36"/>
      <c r="CL443" s="36"/>
      <c r="CM443" s="37"/>
      <c r="CN443" s="36"/>
      <c r="CO443" s="36"/>
      <c r="CP443" s="36"/>
      <c r="CQ443" s="36"/>
      <c r="CR443" s="36"/>
      <c r="CS443" s="36"/>
      <c r="CT443" s="36"/>
      <c r="CU443" s="36"/>
      <c r="CV443" s="36"/>
      <c r="CW443" s="36"/>
      <c r="CX443" s="36"/>
      <c r="CY443" s="36"/>
      <c r="CZ443" s="36"/>
      <c r="DA443" s="36"/>
      <c r="DB443" s="36"/>
      <c r="DC443" s="36"/>
      <c r="DD443" s="36"/>
      <c r="DE443" s="36"/>
      <c r="DF443" s="36"/>
      <c r="DG443" s="36"/>
      <c r="DH443" s="36"/>
      <c r="DI443" s="36"/>
      <c r="DJ443" s="36"/>
      <c r="DK443" s="36"/>
      <c r="DL443" s="36"/>
      <c r="DM443" s="36"/>
      <c r="DN443" s="36"/>
      <c r="DO443" s="36"/>
      <c r="DP443" s="36"/>
      <c r="DQ443" s="36"/>
      <c r="DR443" s="36"/>
      <c r="DS443" s="36"/>
      <c r="DT443" s="36"/>
      <c r="DU443" s="36"/>
      <c r="DV443" s="36"/>
      <c r="DW443" s="36"/>
      <c r="DX443" s="36"/>
      <c r="DY443" s="36"/>
    </row>
    <row r="444" spans="84:129" ht="9" customHeight="1" x14ac:dyDescent="0.2">
      <c r="CF444" s="36"/>
      <c r="CG444" s="36"/>
      <c r="CH444" s="36"/>
      <c r="CI444" s="36"/>
      <c r="CJ444" s="36"/>
      <c r="CK444" s="36"/>
      <c r="CL444" s="36"/>
      <c r="CM444" s="37"/>
      <c r="CN444" s="36"/>
      <c r="CO444" s="36"/>
      <c r="CP444" s="36"/>
      <c r="CQ444" s="36"/>
      <c r="CR444" s="36"/>
      <c r="CS444" s="36"/>
      <c r="CT444" s="36"/>
      <c r="CU444" s="36"/>
      <c r="CV444" s="36"/>
      <c r="CW444" s="36"/>
      <c r="CX444" s="36"/>
      <c r="CY444" s="36"/>
      <c r="CZ444" s="36"/>
      <c r="DA444" s="36"/>
      <c r="DB444" s="36"/>
      <c r="DC444" s="36"/>
      <c r="DD444" s="36"/>
      <c r="DE444" s="36"/>
      <c r="DF444" s="36"/>
      <c r="DG444" s="36"/>
      <c r="DH444" s="36"/>
      <c r="DI444" s="36"/>
      <c r="DJ444" s="36"/>
      <c r="DK444" s="36"/>
      <c r="DL444" s="36"/>
      <c r="DM444" s="36"/>
      <c r="DN444" s="36"/>
      <c r="DO444" s="36"/>
      <c r="DP444" s="36"/>
      <c r="DQ444" s="36"/>
      <c r="DR444" s="36"/>
      <c r="DS444" s="36"/>
      <c r="DT444" s="36"/>
      <c r="DU444" s="36"/>
      <c r="DV444" s="36"/>
      <c r="DW444" s="36"/>
      <c r="DX444" s="36"/>
      <c r="DY444" s="36"/>
    </row>
    <row r="445" spans="84:129" ht="9" customHeight="1" x14ac:dyDescent="0.2">
      <c r="CF445" s="36"/>
      <c r="CG445" s="36"/>
      <c r="CH445" s="36"/>
      <c r="CI445" s="36"/>
      <c r="CJ445" s="36"/>
      <c r="CK445" s="36"/>
      <c r="CL445" s="36"/>
      <c r="CM445" s="37"/>
      <c r="CN445" s="36"/>
      <c r="CO445" s="36"/>
      <c r="CP445" s="36"/>
      <c r="CQ445" s="36"/>
      <c r="CR445" s="36"/>
      <c r="CS445" s="36"/>
      <c r="CT445" s="36"/>
      <c r="CU445" s="36"/>
      <c r="CV445" s="36"/>
      <c r="CW445" s="36"/>
      <c r="CX445" s="36"/>
      <c r="CY445" s="36"/>
      <c r="CZ445" s="36"/>
      <c r="DA445" s="36"/>
      <c r="DB445" s="36"/>
      <c r="DC445" s="36"/>
      <c r="DD445" s="36"/>
      <c r="DE445" s="36"/>
      <c r="DF445" s="36"/>
      <c r="DG445" s="36"/>
      <c r="DH445" s="36"/>
      <c r="DI445" s="36"/>
      <c r="DJ445" s="36"/>
      <c r="DK445" s="36"/>
      <c r="DL445" s="36"/>
      <c r="DM445" s="36"/>
      <c r="DN445" s="36"/>
      <c r="DO445" s="36"/>
      <c r="DP445" s="36"/>
      <c r="DQ445" s="36"/>
      <c r="DR445" s="36"/>
      <c r="DS445" s="36"/>
      <c r="DT445" s="36"/>
      <c r="DU445" s="36"/>
      <c r="DV445" s="36"/>
      <c r="DW445" s="36"/>
      <c r="DX445" s="36"/>
      <c r="DY445" s="36"/>
    </row>
    <row r="446" spans="84:129" ht="9" customHeight="1" x14ac:dyDescent="0.2">
      <c r="CF446" s="36"/>
      <c r="CG446" s="36"/>
      <c r="CH446" s="36"/>
      <c r="CI446" s="36"/>
      <c r="CJ446" s="36"/>
      <c r="CK446" s="36"/>
      <c r="CL446" s="36"/>
      <c r="CM446" s="37"/>
      <c r="CN446" s="36"/>
      <c r="CO446" s="36"/>
      <c r="CP446" s="36"/>
      <c r="CQ446" s="36"/>
      <c r="CR446" s="36"/>
      <c r="CS446" s="36"/>
      <c r="CT446" s="36"/>
      <c r="CU446" s="36"/>
      <c r="CV446" s="36"/>
      <c r="CW446" s="36"/>
      <c r="CX446" s="36"/>
      <c r="CY446" s="36"/>
      <c r="CZ446" s="36"/>
      <c r="DA446" s="36"/>
      <c r="DB446" s="36"/>
      <c r="DC446" s="36"/>
      <c r="DD446" s="36"/>
      <c r="DE446" s="36"/>
      <c r="DF446" s="36"/>
      <c r="DG446" s="36"/>
      <c r="DH446" s="36"/>
      <c r="DI446" s="36"/>
      <c r="DJ446" s="36"/>
      <c r="DK446" s="36"/>
      <c r="DL446" s="36"/>
      <c r="DM446" s="36"/>
      <c r="DN446" s="36"/>
      <c r="DO446" s="36"/>
      <c r="DP446" s="36"/>
      <c r="DQ446" s="36"/>
      <c r="DR446" s="36"/>
      <c r="DS446" s="36"/>
      <c r="DT446" s="36"/>
      <c r="DU446" s="36"/>
      <c r="DV446" s="36"/>
      <c r="DW446" s="36"/>
      <c r="DX446" s="36"/>
      <c r="DY446" s="36"/>
    </row>
    <row r="447" spans="84:129" ht="9" customHeight="1" x14ac:dyDescent="0.2">
      <c r="CF447" s="36"/>
      <c r="CG447" s="36"/>
      <c r="CH447" s="36"/>
      <c r="CI447" s="36"/>
      <c r="CJ447" s="36"/>
      <c r="CK447" s="36"/>
      <c r="CL447" s="36"/>
      <c r="CM447" s="37"/>
      <c r="CN447" s="36"/>
      <c r="CO447" s="36"/>
      <c r="CP447" s="36"/>
      <c r="CQ447" s="36"/>
      <c r="CR447" s="36"/>
      <c r="CS447" s="36"/>
      <c r="CT447" s="36"/>
      <c r="CU447" s="36"/>
      <c r="CV447" s="36"/>
      <c r="CW447" s="36"/>
      <c r="CX447" s="36"/>
      <c r="CY447" s="36"/>
      <c r="CZ447" s="36"/>
      <c r="DA447" s="36"/>
      <c r="DB447" s="36"/>
      <c r="DC447" s="36"/>
      <c r="DD447" s="36"/>
      <c r="DE447" s="36"/>
      <c r="DF447" s="36"/>
      <c r="DG447" s="36"/>
      <c r="DH447" s="36"/>
      <c r="DI447" s="36"/>
      <c r="DJ447" s="36"/>
      <c r="DK447" s="36"/>
      <c r="DL447" s="36"/>
      <c r="DM447" s="36"/>
      <c r="DN447" s="36"/>
      <c r="DO447" s="36"/>
      <c r="DP447" s="36"/>
      <c r="DQ447" s="36"/>
      <c r="DR447" s="36"/>
      <c r="DS447" s="36"/>
      <c r="DT447" s="36"/>
      <c r="DU447" s="36"/>
      <c r="DV447" s="36"/>
      <c r="DW447" s="36"/>
      <c r="DX447" s="36"/>
      <c r="DY447" s="36"/>
    </row>
    <row r="448" spans="84:129" ht="9" customHeight="1" x14ac:dyDescent="0.2">
      <c r="CF448" s="36"/>
      <c r="CG448" s="36"/>
      <c r="CH448" s="36"/>
      <c r="CI448" s="36"/>
      <c r="CJ448" s="36"/>
      <c r="CK448" s="36"/>
      <c r="CL448" s="36"/>
      <c r="CM448" s="37"/>
      <c r="CN448" s="36"/>
      <c r="CO448" s="36"/>
      <c r="CP448" s="36"/>
      <c r="CQ448" s="36"/>
      <c r="CR448" s="36"/>
      <c r="CS448" s="36"/>
      <c r="CT448" s="36"/>
      <c r="CU448" s="36"/>
      <c r="CV448" s="36"/>
      <c r="CW448" s="36"/>
      <c r="CX448" s="36"/>
      <c r="CY448" s="36"/>
      <c r="CZ448" s="36"/>
      <c r="DA448" s="36"/>
      <c r="DB448" s="36"/>
      <c r="DC448" s="36"/>
      <c r="DD448" s="36"/>
      <c r="DE448" s="36"/>
      <c r="DF448" s="36"/>
      <c r="DG448" s="36"/>
      <c r="DH448" s="36"/>
      <c r="DI448" s="36"/>
      <c r="DJ448" s="36"/>
      <c r="DK448" s="36"/>
      <c r="DL448" s="36"/>
      <c r="DM448" s="36"/>
      <c r="DN448" s="36"/>
      <c r="DO448" s="36"/>
      <c r="DP448" s="36"/>
      <c r="DQ448" s="36"/>
      <c r="DR448" s="36"/>
      <c r="DS448" s="36"/>
      <c r="DT448" s="36"/>
      <c r="DU448" s="36"/>
      <c r="DV448" s="36"/>
      <c r="DW448" s="36"/>
      <c r="DX448" s="36"/>
      <c r="DY448" s="36"/>
    </row>
    <row r="449" spans="84:129" ht="9" customHeight="1" x14ac:dyDescent="0.2">
      <c r="CF449" s="36"/>
      <c r="CG449" s="36"/>
      <c r="CH449" s="36"/>
      <c r="CI449" s="36"/>
      <c r="CJ449" s="36"/>
      <c r="CK449" s="36"/>
      <c r="CL449" s="36"/>
      <c r="CM449" s="37"/>
      <c r="CN449" s="36"/>
      <c r="CO449" s="36"/>
      <c r="CP449" s="36"/>
      <c r="CQ449" s="36"/>
      <c r="CR449" s="36"/>
      <c r="CS449" s="36"/>
      <c r="CT449" s="36"/>
      <c r="CU449" s="36"/>
      <c r="CV449" s="36"/>
      <c r="CW449" s="36"/>
      <c r="CX449" s="36"/>
      <c r="CY449" s="36"/>
      <c r="CZ449" s="36"/>
      <c r="DA449" s="36"/>
      <c r="DB449" s="36"/>
      <c r="DC449" s="36"/>
      <c r="DD449" s="36"/>
      <c r="DE449" s="36"/>
      <c r="DF449" s="36"/>
      <c r="DG449" s="36"/>
      <c r="DH449" s="36"/>
      <c r="DI449" s="36"/>
      <c r="DJ449" s="36"/>
      <c r="DK449" s="36"/>
      <c r="DL449" s="36"/>
      <c r="DM449" s="36"/>
      <c r="DN449" s="36"/>
      <c r="DO449" s="36"/>
      <c r="DP449" s="36"/>
      <c r="DQ449" s="36"/>
      <c r="DR449" s="36"/>
      <c r="DS449" s="36"/>
      <c r="DT449" s="36"/>
      <c r="DU449" s="36"/>
      <c r="DV449" s="36"/>
      <c r="DW449" s="36"/>
      <c r="DX449" s="36"/>
      <c r="DY449" s="36"/>
    </row>
    <row r="450" spans="84:129" ht="9" customHeight="1" x14ac:dyDescent="0.2">
      <c r="CF450" s="36"/>
      <c r="CG450" s="36"/>
      <c r="CH450" s="36"/>
      <c r="CI450" s="36"/>
      <c r="CJ450" s="36"/>
      <c r="CK450" s="36"/>
      <c r="CL450" s="36"/>
      <c r="CM450" s="37"/>
      <c r="CN450" s="36"/>
      <c r="CO450" s="36"/>
      <c r="CP450" s="36"/>
      <c r="CQ450" s="36"/>
      <c r="CR450" s="36"/>
      <c r="CS450" s="36"/>
      <c r="CT450" s="36"/>
      <c r="CU450" s="36"/>
      <c r="CV450" s="36"/>
      <c r="CW450" s="36"/>
      <c r="CX450" s="36"/>
      <c r="CY450" s="36"/>
      <c r="CZ450" s="36"/>
      <c r="DA450" s="36"/>
      <c r="DB450" s="36"/>
      <c r="DC450" s="36"/>
      <c r="DD450" s="36"/>
      <c r="DE450" s="36"/>
      <c r="DF450" s="36"/>
      <c r="DG450" s="36"/>
      <c r="DH450" s="36"/>
      <c r="DI450" s="36"/>
      <c r="DJ450" s="36"/>
      <c r="DK450" s="36"/>
      <c r="DL450" s="36"/>
      <c r="DM450" s="36"/>
      <c r="DN450" s="36"/>
      <c r="DO450" s="36"/>
      <c r="DP450" s="36"/>
      <c r="DQ450" s="36"/>
      <c r="DR450" s="36"/>
      <c r="DS450" s="36"/>
      <c r="DT450" s="36"/>
      <c r="DU450" s="36"/>
      <c r="DV450" s="36"/>
      <c r="DW450" s="36"/>
      <c r="DX450" s="36"/>
      <c r="DY450" s="36"/>
    </row>
    <row r="451" spans="84:129" ht="9" customHeight="1" x14ac:dyDescent="0.2">
      <c r="CF451" s="36"/>
      <c r="CG451" s="36"/>
      <c r="CH451" s="36"/>
      <c r="CI451" s="36"/>
      <c r="CJ451" s="36"/>
      <c r="CK451" s="36"/>
      <c r="CL451" s="36"/>
      <c r="CM451" s="37"/>
      <c r="CN451" s="36"/>
      <c r="CO451" s="36"/>
      <c r="CP451" s="36"/>
      <c r="CQ451" s="36"/>
      <c r="CR451" s="36"/>
      <c r="CS451" s="36"/>
      <c r="CT451" s="36"/>
      <c r="CU451" s="36"/>
      <c r="CV451" s="36"/>
      <c r="CW451" s="36"/>
      <c r="CX451" s="36"/>
      <c r="CY451" s="36"/>
      <c r="CZ451" s="36"/>
      <c r="DA451" s="36"/>
      <c r="DB451" s="36"/>
      <c r="DC451" s="36"/>
      <c r="DD451" s="36"/>
      <c r="DE451" s="36"/>
      <c r="DF451" s="36"/>
      <c r="DG451" s="36"/>
      <c r="DH451" s="36"/>
      <c r="DI451" s="36"/>
      <c r="DJ451" s="36"/>
      <c r="DK451" s="36"/>
      <c r="DL451" s="36"/>
      <c r="DM451" s="36"/>
      <c r="DN451" s="36"/>
      <c r="DO451" s="36"/>
      <c r="DP451" s="36"/>
      <c r="DQ451" s="36"/>
      <c r="DR451" s="36"/>
      <c r="DS451" s="36"/>
      <c r="DT451" s="36"/>
      <c r="DU451" s="36"/>
      <c r="DV451" s="36"/>
      <c r="DW451" s="36"/>
      <c r="DX451" s="36"/>
      <c r="DY451" s="36"/>
    </row>
    <row r="452" spans="84:129" ht="9" customHeight="1" x14ac:dyDescent="0.2">
      <c r="CF452" s="36"/>
      <c r="CG452" s="36"/>
      <c r="CH452" s="36"/>
      <c r="CI452" s="36"/>
      <c r="CJ452" s="36"/>
      <c r="CK452" s="36"/>
      <c r="CL452" s="36"/>
      <c r="CM452" s="37"/>
      <c r="CN452" s="36"/>
      <c r="CO452" s="36"/>
      <c r="CP452" s="36"/>
      <c r="CQ452" s="36"/>
      <c r="CR452" s="36"/>
      <c r="CS452" s="36"/>
      <c r="CT452" s="36"/>
      <c r="CU452" s="36"/>
      <c r="CV452" s="36"/>
      <c r="CW452" s="36"/>
      <c r="CX452" s="36"/>
      <c r="CY452" s="36"/>
      <c r="CZ452" s="36"/>
      <c r="DA452" s="36"/>
      <c r="DB452" s="36"/>
      <c r="DC452" s="36"/>
      <c r="DD452" s="36"/>
      <c r="DE452" s="36"/>
      <c r="DF452" s="36"/>
      <c r="DG452" s="36"/>
      <c r="DH452" s="36"/>
      <c r="DI452" s="36"/>
      <c r="DJ452" s="36"/>
      <c r="DK452" s="36"/>
      <c r="DL452" s="36"/>
      <c r="DM452" s="36"/>
      <c r="DN452" s="36"/>
      <c r="DO452" s="36"/>
      <c r="DP452" s="36"/>
      <c r="DQ452" s="36"/>
      <c r="DR452" s="36"/>
      <c r="DS452" s="36"/>
      <c r="DT452" s="36"/>
      <c r="DU452" s="36"/>
      <c r="DV452" s="36"/>
      <c r="DW452" s="36"/>
      <c r="DX452" s="36"/>
      <c r="DY452" s="36"/>
    </row>
    <row r="453" spans="84:129" ht="9" customHeight="1" x14ac:dyDescent="0.2">
      <c r="CF453" s="36"/>
      <c r="CG453" s="36"/>
      <c r="CH453" s="36"/>
      <c r="CI453" s="36"/>
      <c r="CJ453" s="36"/>
      <c r="CK453" s="36"/>
      <c r="CL453" s="36"/>
      <c r="CM453" s="37"/>
      <c r="CN453" s="36"/>
      <c r="CO453" s="36"/>
      <c r="CP453" s="36"/>
      <c r="CQ453" s="36"/>
      <c r="CR453" s="36"/>
      <c r="CS453" s="36"/>
      <c r="CT453" s="36"/>
      <c r="CU453" s="36"/>
      <c r="CV453" s="36"/>
      <c r="CW453" s="36"/>
      <c r="CX453" s="36"/>
      <c r="CY453" s="36"/>
      <c r="CZ453" s="36"/>
      <c r="DA453" s="36"/>
      <c r="DB453" s="36"/>
      <c r="DC453" s="36"/>
      <c r="DD453" s="36"/>
      <c r="DE453" s="36"/>
      <c r="DF453" s="36"/>
      <c r="DG453" s="36"/>
      <c r="DH453" s="36"/>
      <c r="DI453" s="36"/>
      <c r="DJ453" s="36"/>
      <c r="DK453" s="36"/>
      <c r="DL453" s="36"/>
      <c r="DM453" s="36"/>
      <c r="DN453" s="36"/>
      <c r="DO453" s="36"/>
      <c r="DP453" s="36"/>
      <c r="DQ453" s="36"/>
      <c r="DR453" s="36"/>
      <c r="DS453" s="36"/>
      <c r="DT453" s="36"/>
      <c r="DU453" s="36"/>
      <c r="DV453" s="36"/>
      <c r="DW453" s="36"/>
      <c r="DX453" s="36"/>
      <c r="DY453" s="36"/>
    </row>
    <row r="454" spans="84:129" ht="9" customHeight="1" x14ac:dyDescent="0.2">
      <c r="CF454" s="36"/>
      <c r="CG454" s="36"/>
      <c r="CH454" s="36"/>
      <c r="CI454" s="36"/>
      <c r="CJ454" s="36"/>
      <c r="CK454" s="36"/>
      <c r="CL454" s="36"/>
      <c r="CM454" s="37"/>
      <c r="CN454" s="36"/>
      <c r="CO454" s="36"/>
      <c r="CP454" s="36"/>
      <c r="CQ454" s="36"/>
      <c r="CR454" s="36"/>
      <c r="CS454" s="36"/>
      <c r="CT454" s="36"/>
      <c r="CU454" s="36"/>
      <c r="CV454" s="36"/>
      <c r="CW454" s="36"/>
      <c r="CX454" s="36"/>
      <c r="CY454" s="36"/>
      <c r="CZ454" s="36"/>
      <c r="DA454" s="36"/>
      <c r="DB454" s="36"/>
      <c r="DC454" s="36"/>
      <c r="DD454" s="36"/>
      <c r="DE454" s="36"/>
      <c r="DF454" s="36"/>
      <c r="DG454" s="36"/>
      <c r="DH454" s="36"/>
      <c r="DI454" s="36"/>
      <c r="DJ454" s="36"/>
      <c r="DK454" s="36"/>
      <c r="DL454" s="36"/>
      <c r="DM454" s="36"/>
      <c r="DN454" s="36"/>
      <c r="DO454" s="36"/>
      <c r="DP454" s="36"/>
      <c r="DQ454" s="36"/>
      <c r="DR454" s="36"/>
      <c r="DS454" s="36"/>
      <c r="DT454" s="36"/>
      <c r="DU454" s="36"/>
      <c r="DV454" s="36"/>
      <c r="DW454" s="36"/>
      <c r="DX454" s="36"/>
      <c r="DY454" s="36"/>
    </row>
    <row r="455" spans="84:129" ht="9" customHeight="1" x14ac:dyDescent="0.2">
      <c r="CF455" s="36"/>
      <c r="CG455" s="36"/>
      <c r="CH455" s="36"/>
      <c r="CI455" s="36"/>
      <c r="CJ455" s="36"/>
      <c r="CK455" s="36"/>
      <c r="CL455" s="36"/>
      <c r="CM455" s="37"/>
      <c r="CN455" s="36"/>
      <c r="CO455" s="36"/>
      <c r="CP455" s="36"/>
      <c r="CQ455" s="36"/>
      <c r="CR455" s="36"/>
      <c r="CS455" s="36"/>
      <c r="CT455" s="36"/>
      <c r="CU455" s="36"/>
      <c r="CV455" s="36"/>
      <c r="CW455" s="36"/>
      <c r="CX455" s="36"/>
      <c r="CY455" s="36"/>
      <c r="CZ455" s="36"/>
      <c r="DA455" s="36"/>
      <c r="DB455" s="36"/>
      <c r="DC455" s="36"/>
      <c r="DD455" s="36"/>
      <c r="DE455" s="36"/>
      <c r="DF455" s="36"/>
      <c r="DG455" s="36"/>
      <c r="DH455" s="36"/>
      <c r="DI455" s="36"/>
      <c r="DJ455" s="36"/>
      <c r="DK455" s="36"/>
      <c r="DL455" s="36"/>
      <c r="DM455" s="36"/>
      <c r="DN455" s="36"/>
      <c r="DO455" s="36"/>
      <c r="DP455" s="36"/>
      <c r="DQ455" s="36"/>
      <c r="DR455" s="36"/>
      <c r="DS455" s="36"/>
      <c r="DT455" s="36"/>
      <c r="DU455" s="36"/>
      <c r="DV455" s="36"/>
      <c r="DW455" s="36"/>
      <c r="DX455" s="36"/>
      <c r="DY455" s="36"/>
    </row>
    <row r="456" spans="84:129" ht="9" customHeight="1" x14ac:dyDescent="0.2">
      <c r="CF456" s="36"/>
      <c r="CG456" s="36"/>
      <c r="CH456" s="36"/>
      <c r="CI456" s="36"/>
      <c r="CJ456" s="36"/>
      <c r="CK456" s="36"/>
      <c r="CL456" s="36"/>
      <c r="CM456" s="37"/>
      <c r="CN456" s="36"/>
      <c r="CO456" s="36"/>
      <c r="CP456" s="36"/>
      <c r="CQ456" s="36"/>
      <c r="CR456" s="36"/>
      <c r="CS456" s="36"/>
      <c r="CT456" s="36"/>
      <c r="CU456" s="36"/>
      <c r="CV456" s="36"/>
      <c r="CW456" s="36"/>
      <c r="CX456" s="36"/>
      <c r="CY456" s="36"/>
      <c r="CZ456" s="36"/>
      <c r="DA456" s="36"/>
      <c r="DB456" s="36"/>
      <c r="DC456" s="36"/>
      <c r="DD456" s="36"/>
      <c r="DE456" s="36"/>
      <c r="DF456" s="36"/>
      <c r="DG456" s="36"/>
      <c r="DH456" s="36"/>
      <c r="DI456" s="36"/>
      <c r="DJ456" s="36"/>
      <c r="DK456" s="36"/>
      <c r="DL456" s="36"/>
      <c r="DM456" s="36"/>
      <c r="DN456" s="36"/>
      <c r="DO456" s="36"/>
      <c r="DP456" s="36"/>
      <c r="DQ456" s="36"/>
      <c r="DR456" s="36"/>
      <c r="DS456" s="36"/>
      <c r="DT456" s="36"/>
      <c r="DU456" s="36"/>
      <c r="DV456" s="36"/>
      <c r="DW456" s="36"/>
      <c r="DX456" s="36"/>
      <c r="DY456" s="36"/>
    </row>
    <row r="457" spans="84:129" ht="9" customHeight="1" x14ac:dyDescent="0.2">
      <c r="CF457" s="36"/>
      <c r="CG457" s="36"/>
      <c r="CH457" s="36"/>
      <c r="CI457" s="36"/>
      <c r="CJ457" s="36"/>
      <c r="CK457" s="36"/>
      <c r="CL457" s="36"/>
      <c r="CM457" s="37"/>
      <c r="CN457" s="36"/>
      <c r="CO457" s="36"/>
      <c r="CP457" s="36"/>
      <c r="CQ457" s="36"/>
      <c r="CR457" s="36"/>
      <c r="CS457" s="36"/>
      <c r="CT457" s="36"/>
      <c r="CU457" s="36"/>
      <c r="CV457" s="36"/>
      <c r="CW457" s="36"/>
      <c r="CX457" s="36"/>
      <c r="CY457" s="36"/>
      <c r="CZ457" s="36"/>
      <c r="DA457" s="36"/>
      <c r="DB457" s="36"/>
      <c r="DC457" s="36"/>
      <c r="DD457" s="36"/>
      <c r="DE457" s="36"/>
      <c r="DF457" s="36"/>
      <c r="DG457" s="36"/>
      <c r="DH457" s="36"/>
      <c r="DI457" s="36"/>
      <c r="DJ457" s="36"/>
      <c r="DK457" s="36"/>
      <c r="DL457" s="36"/>
      <c r="DM457" s="36"/>
      <c r="DN457" s="36"/>
      <c r="DO457" s="36"/>
      <c r="DP457" s="36"/>
      <c r="DQ457" s="36"/>
      <c r="DR457" s="36"/>
      <c r="DS457" s="36"/>
      <c r="DT457" s="36"/>
      <c r="DU457" s="36"/>
      <c r="DV457" s="36"/>
      <c r="DW457" s="36"/>
      <c r="DX457" s="36"/>
      <c r="DY457" s="36"/>
    </row>
    <row r="458" spans="84:129" ht="9" customHeight="1" x14ac:dyDescent="0.2">
      <c r="CF458" s="36"/>
      <c r="CG458" s="36"/>
      <c r="CH458" s="36"/>
      <c r="CI458" s="36"/>
      <c r="CJ458" s="36"/>
      <c r="CK458" s="36"/>
      <c r="CL458" s="36"/>
      <c r="CM458" s="37"/>
      <c r="CN458" s="36"/>
      <c r="CO458" s="36"/>
      <c r="CP458" s="36"/>
      <c r="CQ458" s="36"/>
      <c r="CR458" s="36"/>
      <c r="CS458" s="36"/>
      <c r="CT458" s="36"/>
      <c r="CU458" s="36"/>
      <c r="CV458" s="36"/>
      <c r="CW458" s="36"/>
      <c r="CX458" s="36"/>
      <c r="CY458" s="36"/>
      <c r="CZ458" s="36"/>
      <c r="DA458" s="36"/>
      <c r="DB458" s="36"/>
      <c r="DC458" s="36"/>
      <c r="DD458" s="36"/>
      <c r="DE458" s="36"/>
      <c r="DF458" s="36"/>
      <c r="DG458" s="36"/>
      <c r="DH458" s="36"/>
      <c r="DI458" s="36"/>
      <c r="DJ458" s="36"/>
      <c r="DK458" s="36"/>
      <c r="DL458" s="36"/>
      <c r="DM458" s="36"/>
      <c r="DN458" s="36"/>
      <c r="DO458" s="36"/>
      <c r="DP458" s="36"/>
      <c r="DQ458" s="36"/>
      <c r="DR458" s="36"/>
      <c r="DS458" s="36"/>
      <c r="DT458" s="36"/>
      <c r="DU458" s="36"/>
      <c r="DV458" s="36"/>
      <c r="DW458" s="36"/>
      <c r="DX458" s="36"/>
      <c r="DY458" s="36"/>
    </row>
    <row r="459" spans="84:129" ht="9" customHeight="1" x14ac:dyDescent="0.2">
      <c r="CF459" s="36"/>
      <c r="CG459" s="36"/>
      <c r="CH459" s="36"/>
      <c r="CI459" s="36"/>
      <c r="CJ459" s="36"/>
      <c r="CK459" s="36"/>
      <c r="CL459" s="36"/>
      <c r="CM459" s="37"/>
      <c r="CN459" s="36"/>
      <c r="CO459" s="36"/>
      <c r="CP459" s="36"/>
      <c r="CQ459" s="36"/>
      <c r="CR459" s="36"/>
      <c r="CS459" s="36"/>
      <c r="CT459" s="36"/>
      <c r="CU459" s="36"/>
      <c r="CV459" s="36"/>
      <c r="CW459" s="36"/>
      <c r="CX459" s="36"/>
      <c r="CY459" s="36"/>
      <c r="CZ459" s="36"/>
      <c r="DA459" s="36"/>
      <c r="DB459" s="36"/>
      <c r="DC459" s="36"/>
      <c r="DD459" s="36"/>
      <c r="DE459" s="36"/>
      <c r="DF459" s="36"/>
      <c r="DG459" s="36"/>
      <c r="DH459" s="36"/>
      <c r="DI459" s="36"/>
      <c r="DJ459" s="36"/>
      <c r="DK459" s="36"/>
      <c r="DL459" s="36"/>
      <c r="DM459" s="36"/>
      <c r="DN459" s="36"/>
      <c r="DO459" s="36"/>
      <c r="DP459" s="36"/>
      <c r="DQ459" s="36"/>
      <c r="DR459" s="36"/>
      <c r="DS459" s="36"/>
      <c r="DT459" s="36"/>
      <c r="DU459" s="36"/>
      <c r="DV459" s="36"/>
      <c r="DW459" s="36"/>
      <c r="DX459" s="36"/>
      <c r="DY459" s="36"/>
    </row>
    <row r="460" spans="84:129" ht="9" customHeight="1" x14ac:dyDescent="0.2">
      <c r="CF460" s="36"/>
      <c r="CG460" s="36"/>
      <c r="CH460" s="36"/>
      <c r="CI460" s="36"/>
      <c r="CJ460" s="36"/>
      <c r="CK460" s="36"/>
      <c r="CL460" s="36"/>
      <c r="CM460" s="37"/>
      <c r="CN460" s="36"/>
      <c r="CO460" s="36"/>
      <c r="CP460" s="36"/>
      <c r="CQ460" s="36"/>
      <c r="CR460" s="36"/>
      <c r="CS460" s="36"/>
      <c r="CT460" s="36"/>
      <c r="CU460" s="36"/>
      <c r="CV460" s="36"/>
      <c r="CW460" s="36"/>
      <c r="CX460" s="36"/>
      <c r="CY460" s="36"/>
      <c r="CZ460" s="36"/>
      <c r="DA460" s="36"/>
      <c r="DB460" s="36"/>
      <c r="DC460" s="36"/>
      <c r="DD460" s="36"/>
      <c r="DE460" s="36"/>
      <c r="DF460" s="36"/>
      <c r="DG460" s="36"/>
      <c r="DH460" s="36"/>
      <c r="DI460" s="36"/>
      <c r="DJ460" s="36"/>
      <c r="DK460" s="36"/>
      <c r="DL460" s="36"/>
      <c r="DM460" s="36"/>
      <c r="DN460" s="36"/>
      <c r="DO460" s="36"/>
      <c r="DP460" s="36"/>
      <c r="DQ460" s="36"/>
      <c r="DR460" s="36"/>
      <c r="DS460" s="36"/>
      <c r="DT460" s="36"/>
      <c r="DU460" s="36"/>
      <c r="DV460" s="36"/>
      <c r="DW460" s="36"/>
      <c r="DX460" s="36"/>
      <c r="DY460" s="36"/>
    </row>
    <row r="461" spans="84:129" ht="9" customHeight="1" x14ac:dyDescent="0.2">
      <c r="CF461" s="36"/>
      <c r="CG461" s="36"/>
      <c r="CH461" s="36"/>
      <c r="CI461" s="36"/>
      <c r="CJ461" s="36"/>
      <c r="CK461" s="36"/>
      <c r="CL461" s="36"/>
      <c r="CM461" s="37"/>
      <c r="CN461" s="36"/>
      <c r="CO461" s="36"/>
      <c r="CP461" s="36"/>
      <c r="CQ461" s="36"/>
      <c r="CR461" s="36"/>
      <c r="CS461" s="36"/>
      <c r="CT461" s="36"/>
      <c r="CU461" s="36"/>
      <c r="CV461" s="36"/>
      <c r="CW461" s="36"/>
      <c r="CX461" s="36"/>
      <c r="CY461" s="36"/>
      <c r="CZ461" s="36"/>
      <c r="DA461" s="36"/>
      <c r="DB461" s="36"/>
      <c r="DC461" s="36"/>
      <c r="DD461" s="36"/>
      <c r="DE461" s="36"/>
      <c r="DF461" s="36"/>
      <c r="DG461" s="36"/>
      <c r="DH461" s="36"/>
      <c r="DI461" s="36"/>
      <c r="DJ461" s="36"/>
      <c r="DK461" s="36"/>
      <c r="DL461" s="36"/>
      <c r="DM461" s="36"/>
      <c r="DN461" s="36"/>
      <c r="DO461" s="36"/>
      <c r="DP461" s="36"/>
      <c r="DQ461" s="36"/>
      <c r="DR461" s="36"/>
      <c r="DS461" s="36"/>
      <c r="DT461" s="36"/>
      <c r="DU461" s="36"/>
      <c r="DV461" s="36"/>
      <c r="DW461" s="36"/>
      <c r="DX461" s="36"/>
      <c r="DY461" s="36"/>
    </row>
    <row r="462" spans="84:129" ht="9" customHeight="1" x14ac:dyDescent="0.2">
      <c r="CF462" s="36"/>
      <c r="CG462" s="36"/>
      <c r="CH462" s="36"/>
      <c r="CI462" s="36"/>
      <c r="CJ462" s="36"/>
      <c r="CK462" s="36"/>
      <c r="CL462" s="36"/>
      <c r="CM462" s="37"/>
      <c r="CN462" s="36"/>
      <c r="CO462" s="36"/>
      <c r="CP462" s="36"/>
      <c r="CQ462" s="36"/>
      <c r="CR462" s="36"/>
      <c r="CS462" s="36"/>
      <c r="CT462" s="36"/>
      <c r="CU462" s="36"/>
      <c r="CV462" s="36"/>
      <c r="CW462" s="36"/>
      <c r="CX462" s="36"/>
      <c r="CY462" s="36"/>
      <c r="CZ462" s="36"/>
      <c r="DA462" s="36"/>
      <c r="DB462" s="36"/>
      <c r="DC462" s="36"/>
      <c r="DD462" s="36"/>
      <c r="DE462" s="36"/>
      <c r="DF462" s="36"/>
      <c r="DG462" s="36"/>
      <c r="DH462" s="36"/>
      <c r="DI462" s="36"/>
      <c r="DJ462" s="36"/>
      <c r="DK462" s="36"/>
      <c r="DL462" s="36"/>
      <c r="DM462" s="36"/>
      <c r="DN462" s="36"/>
      <c r="DO462" s="36"/>
      <c r="DP462" s="36"/>
      <c r="DQ462" s="36"/>
      <c r="DR462" s="36"/>
      <c r="DS462" s="36"/>
      <c r="DT462" s="36"/>
      <c r="DU462" s="36"/>
      <c r="DV462" s="36"/>
      <c r="DW462" s="36"/>
      <c r="DX462" s="36"/>
      <c r="DY462" s="36"/>
    </row>
    <row r="463" spans="84:129" ht="9" customHeight="1" x14ac:dyDescent="0.2">
      <c r="CF463" s="36"/>
      <c r="CG463" s="36"/>
      <c r="CH463" s="36"/>
      <c r="CI463" s="36"/>
      <c r="CJ463" s="36"/>
      <c r="CK463" s="36"/>
      <c r="CL463" s="36"/>
      <c r="CM463" s="37"/>
      <c r="CN463" s="36"/>
      <c r="CO463" s="36"/>
      <c r="CP463" s="36"/>
      <c r="CQ463" s="36"/>
      <c r="CR463" s="36"/>
      <c r="CS463" s="36"/>
      <c r="CT463" s="36"/>
      <c r="CU463" s="36"/>
      <c r="CV463" s="36"/>
      <c r="CW463" s="36"/>
      <c r="CX463" s="36"/>
      <c r="CY463" s="36"/>
      <c r="CZ463" s="36"/>
      <c r="DA463" s="36"/>
      <c r="DB463" s="36"/>
      <c r="DC463" s="36"/>
      <c r="DD463" s="36"/>
      <c r="DE463" s="36"/>
      <c r="DF463" s="36"/>
      <c r="DG463" s="36"/>
      <c r="DH463" s="36"/>
      <c r="DI463" s="36"/>
      <c r="DJ463" s="36"/>
      <c r="DK463" s="36"/>
      <c r="DL463" s="36"/>
      <c r="DM463" s="36"/>
      <c r="DN463" s="36"/>
      <c r="DO463" s="36"/>
      <c r="DP463" s="36"/>
      <c r="DQ463" s="36"/>
      <c r="DR463" s="36"/>
      <c r="DS463" s="36"/>
      <c r="DT463" s="36"/>
      <c r="DU463" s="36"/>
      <c r="DV463" s="36"/>
      <c r="DW463" s="36"/>
      <c r="DX463" s="36"/>
      <c r="DY463" s="36"/>
    </row>
    <row r="464" spans="84:129" ht="9" customHeight="1" x14ac:dyDescent="0.2">
      <c r="CF464" s="36"/>
      <c r="CG464" s="36"/>
      <c r="CH464" s="36"/>
      <c r="CI464" s="36"/>
      <c r="CJ464" s="36"/>
      <c r="CK464" s="36"/>
      <c r="CL464" s="36"/>
      <c r="CM464" s="37"/>
      <c r="CN464" s="36"/>
      <c r="CO464" s="36"/>
      <c r="CP464" s="36"/>
      <c r="CQ464" s="36"/>
      <c r="CR464" s="36"/>
      <c r="CS464" s="36"/>
      <c r="CT464" s="36"/>
      <c r="CU464" s="36"/>
      <c r="CV464" s="36"/>
      <c r="CW464" s="36"/>
      <c r="CX464" s="36"/>
      <c r="CY464" s="36"/>
      <c r="CZ464" s="36"/>
      <c r="DA464" s="36"/>
      <c r="DB464" s="36"/>
      <c r="DC464" s="36"/>
      <c r="DD464" s="36"/>
      <c r="DE464" s="36"/>
      <c r="DF464" s="36"/>
      <c r="DG464" s="36"/>
      <c r="DH464" s="36"/>
      <c r="DI464" s="36"/>
      <c r="DJ464" s="36"/>
      <c r="DK464" s="36"/>
      <c r="DL464" s="36"/>
      <c r="DM464" s="36"/>
      <c r="DN464" s="36"/>
      <c r="DO464" s="36"/>
      <c r="DP464" s="36"/>
      <c r="DQ464" s="36"/>
      <c r="DR464" s="36"/>
      <c r="DS464" s="36"/>
      <c r="DT464" s="36"/>
      <c r="DU464" s="36"/>
      <c r="DV464" s="36"/>
      <c r="DW464" s="36"/>
      <c r="DX464" s="36"/>
      <c r="DY464" s="36"/>
    </row>
    <row r="465" spans="84:129" ht="9" customHeight="1" x14ac:dyDescent="0.2">
      <c r="CF465" s="36"/>
      <c r="CG465" s="36"/>
      <c r="CH465" s="36"/>
      <c r="CI465" s="36"/>
      <c r="CJ465" s="36"/>
      <c r="CK465" s="36"/>
      <c r="CL465" s="36"/>
      <c r="CM465" s="37"/>
      <c r="CN465" s="36"/>
      <c r="CO465" s="36"/>
      <c r="CP465" s="36"/>
      <c r="CQ465" s="36"/>
      <c r="CR465" s="36"/>
      <c r="CS465" s="36"/>
      <c r="CT465" s="36"/>
      <c r="CU465" s="36"/>
      <c r="CV465" s="36"/>
      <c r="CW465" s="36"/>
      <c r="CX465" s="36"/>
      <c r="CY465" s="36"/>
      <c r="CZ465" s="36"/>
      <c r="DA465" s="36"/>
      <c r="DB465" s="36"/>
      <c r="DC465" s="36"/>
      <c r="DD465" s="36"/>
      <c r="DE465" s="36"/>
      <c r="DF465" s="36"/>
      <c r="DG465" s="36"/>
      <c r="DH465" s="36"/>
      <c r="DI465" s="36"/>
      <c r="DJ465" s="36"/>
      <c r="DK465" s="36"/>
      <c r="DL465" s="36"/>
      <c r="DM465" s="36"/>
      <c r="DN465" s="36"/>
      <c r="DO465" s="36"/>
      <c r="DP465" s="36"/>
      <c r="DQ465" s="36"/>
      <c r="DR465" s="36"/>
      <c r="DS465" s="36"/>
      <c r="DT465" s="36"/>
      <c r="DU465" s="36"/>
      <c r="DV465" s="36"/>
      <c r="DW465" s="36"/>
      <c r="DX465" s="36"/>
      <c r="DY465" s="36"/>
    </row>
    <row r="466" spans="84:129" ht="9" customHeight="1" x14ac:dyDescent="0.2">
      <c r="CF466" s="36"/>
      <c r="CG466" s="36"/>
      <c r="CH466" s="36"/>
      <c r="CI466" s="36"/>
      <c r="CJ466" s="36"/>
      <c r="CK466" s="36"/>
      <c r="CL466" s="36"/>
      <c r="CM466" s="37"/>
      <c r="CN466" s="36"/>
      <c r="CO466" s="36"/>
      <c r="CP466" s="36"/>
      <c r="CQ466" s="36"/>
      <c r="CR466" s="36"/>
      <c r="CS466" s="36"/>
      <c r="CT466" s="36"/>
      <c r="CU466" s="36"/>
      <c r="CV466" s="36"/>
      <c r="CW466" s="36"/>
      <c r="CX466" s="36"/>
      <c r="CY466" s="36"/>
      <c r="CZ466" s="36"/>
      <c r="DA466" s="36"/>
      <c r="DB466" s="36"/>
      <c r="DC466" s="36"/>
      <c r="DD466" s="36"/>
      <c r="DE466" s="36"/>
      <c r="DF466" s="36"/>
      <c r="DG466" s="36"/>
      <c r="DH466" s="36"/>
      <c r="DI466" s="36"/>
      <c r="DJ466" s="36"/>
      <c r="DK466" s="36"/>
      <c r="DL466" s="36"/>
      <c r="DM466" s="36"/>
      <c r="DN466" s="36"/>
      <c r="DO466" s="36"/>
      <c r="DP466" s="36"/>
      <c r="DQ466" s="36"/>
      <c r="DR466" s="36"/>
      <c r="DS466" s="36"/>
      <c r="DT466" s="36"/>
      <c r="DU466" s="36"/>
      <c r="DV466" s="36"/>
      <c r="DW466" s="36"/>
      <c r="DX466" s="36"/>
      <c r="DY466" s="36"/>
    </row>
    <row r="467" spans="84:129" ht="9" customHeight="1" x14ac:dyDescent="0.2">
      <c r="CF467" s="36"/>
      <c r="CG467" s="36"/>
      <c r="CH467" s="36"/>
      <c r="CI467" s="36"/>
      <c r="CJ467" s="36"/>
      <c r="CK467" s="36"/>
      <c r="CL467" s="36"/>
      <c r="CM467" s="37"/>
      <c r="CN467" s="36"/>
      <c r="CO467" s="36"/>
      <c r="CP467" s="36"/>
      <c r="CQ467" s="36"/>
      <c r="CR467" s="36"/>
      <c r="CS467" s="36"/>
      <c r="CT467" s="36"/>
      <c r="CU467" s="36"/>
      <c r="CV467" s="36"/>
      <c r="CW467" s="36"/>
      <c r="CX467" s="36"/>
      <c r="CY467" s="36"/>
      <c r="CZ467" s="36"/>
      <c r="DA467" s="36"/>
      <c r="DB467" s="36"/>
      <c r="DC467" s="36"/>
      <c r="DD467" s="36"/>
      <c r="DE467" s="36"/>
      <c r="DF467" s="36"/>
      <c r="DG467" s="36"/>
      <c r="DH467" s="36"/>
      <c r="DI467" s="36"/>
      <c r="DJ467" s="36"/>
      <c r="DK467" s="36"/>
      <c r="DL467" s="36"/>
      <c r="DM467" s="36"/>
      <c r="DN467" s="36"/>
      <c r="DO467" s="36"/>
      <c r="DP467" s="36"/>
      <c r="DQ467" s="36"/>
      <c r="DR467" s="36"/>
      <c r="DS467" s="36"/>
      <c r="DT467" s="36"/>
      <c r="DU467" s="36"/>
      <c r="DV467" s="36"/>
      <c r="DW467" s="36"/>
      <c r="DX467" s="36"/>
      <c r="DY467" s="36"/>
    </row>
    <row r="468" spans="84:129" ht="9" customHeight="1" x14ac:dyDescent="0.2">
      <c r="CF468" s="36"/>
      <c r="CG468" s="36"/>
      <c r="CH468" s="36"/>
      <c r="CI468" s="36"/>
      <c r="CJ468" s="36"/>
      <c r="CK468" s="36"/>
      <c r="CL468" s="36"/>
      <c r="CM468" s="37"/>
      <c r="CN468" s="36"/>
      <c r="CO468" s="36"/>
      <c r="CP468" s="36"/>
      <c r="CQ468" s="36"/>
      <c r="CR468" s="36"/>
      <c r="CS468" s="36"/>
      <c r="CT468" s="36"/>
      <c r="CU468" s="36"/>
      <c r="CV468" s="36"/>
      <c r="CW468" s="36"/>
      <c r="CX468" s="36"/>
      <c r="CY468" s="36"/>
      <c r="CZ468" s="36"/>
      <c r="DA468" s="36"/>
      <c r="DB468" s="36"/>
      <c r="DC468" s="36"/>
      <c r="DD468" s="36"/>
      <c r="DE468" s="36"/>
      <c r="DF468" s="36"/>
      <c r="DG468" s="36"/>
      <c r="DH468" s="36"/>
      <c r="DI468" s="36"/>
      <c r="DJ468" s="36"/>
      <c r="DK468" s="36"/>
      <c r="DL468" s="36"/>
      <c r="DM468" s="36"/>
      <c r="DN468" s="36"/>
      <c r="DO468" s="36"/>
      <c r="DP468" s="36"/>
      <c r="DQ468" s="36"/>
      <c r="DR468" s="36"/>
      <c r="DS468" s="36"/>
      <c r="DT468" s="36"/>
      <c r="DU468" s="36"/>
      <c r="DV468" s="36"/>
      <c r="DW468" s="36"/>
      <c r="DX468" s="36"/>
      <c r="DY468" s="36"/>
    </row>
    <row r="469" spans="84:129" ht="9" customHeight="1" x14ac:dyDescent="0.2">
      <c r="CF469" s="36"/>
      <c r="CG469" s="36"/>
      <c r="CH469" s="36"/>
      <c r="CI469" s="36"/>
      <c r="CJ469" s="36"/>
      <c r="CK469" s="36"/>
      <c r="CL469" s="36"/>
      <c r="CM469" s="37"/>
      <c r="CN469" s="36"/>
      <c r="CO469" s="36"/>
      <c r="CP469" s="36"/>
      <c r="CQ469" s="36"/>
      <c r="CR469" s="36"/>
      <c r="CS469" s="36"/>
      <c r="CT469" s="36"/>
      <c r="CU469" s="36"/>
      <c r="CV469" s="36"/>
      <c r="CW469" s="36"/>
      <c r="CX469" s="36"/>
      <c r="CY469" s="36"/>
      <c r="CZ469" s="36"/>
      <c r="DA469" s="36"/>
      <c r="DB469" s="36"/>
      <c r="DC469" s="36"/>
      <c r="DD469" s="36"/>
      <c r="DE469" s="36"/>
      <c r="DF469" s="36"/>
      <c r="DG469" s="36"/>
      <c r="DH469" s="36"/>
      <c r="DI469" s="36"/>
      <c r="DJ469" s="36"/>
      <c r="DK469" s="36"/>
      <c r="DL469" s="36"/>
      <c r="DM469" s="36"/>
      <c r="DN469" s="36"/>
      <c r="DO469" s="36"/>
      <c r="DP469" s="36"/>
      <c r="DQ469" s="36"/>
      <c r="DR469" s="36"/>
      <c r="DS469" s="36"/>
      <c r="DT469" s="36"/>
      <c r="DU469" s="36"/>
      <c r="DV469" s="36"/>
      <c r="DW469" s="36"/>
      <c r="DX469" s="36"/>
      <c r="DY469" s="36"/>
    </row>
    <row r="470" spans="84:129" ht="9" customHeight="1" x14ac:dyDescent="0.2">
      <c r="CF470" s="36"/>
      <c r="CG470" s="36"/>
      <c r="CH470" s="36"/>
      <c r="CI470" s="36"/>
      <c r="CJ470" s="36"/>
      <c r="CK470" s="36"/>
      <c r="CL470" s="36"/>
      <c r="CM470" s="37"/>
      <c r="CN470" s="36"/>
      <c r="CO470" s="36"/>
      <c r="CP470" s="36"/>
      <c r="CQ470" s="36"/>
      <c r="CR470" s="36"/>
      <c r="CS470" s="36"/>
      <c r="CT470" s="36"/>
      <c r="CU470" s="36"/>
      <c r="CV470" s="36"/>
      <c r="CW470" s="36"/>
      <c r="CX470" s="36"/>
      <c r="CY470" s="36"/>
      <c r="CZ470" s="36"/>
      <c r="DA470" s="36"/>
      <c r="DB470" s="36"/>
      <c r="DC470" s="36"/>
      <c r="DD470" s="36"/>
      <c r="DE470" s="36"/>
      <c r="DF470" s="36"/>
      <c r="DG470" s="36"/>
      <c r="DH470" s="36"/>
      <c r="DI470" s="36"/>
      <c r="DJ470" s="36"/>
      <c r="DK470" s="36"/>
      <c r="DL470" s="36"/>
      <c r="DM470" s="36"/>
      <c r="DN470" s="36"/>
      <c r="DO470" s="36"/>
      <c r="DP470" s="36"/>
      <c r="DQ470" s="36"/>
      <c r="DR470" s="36"/>
      <c r="DS470" s="36"/>
      <c r="DT470" s="36"/>
      <c r="DU470" s="36"/>
      <c r="DV470" s="36"/>
      <c r="DW470" s="36"/>
      <c r="DX470" s="36"/>
      <c r="DY470" s="36"/>
    </row>
    <row r="471" spans="84:129" ht="9" customHeight="1" x14ac:dyDescent="0.2">
      <c r="CF471" s="36"/>
      <c r="CG471" s="36"/>
      <c r="CH471" s="36"/>
      <c r="CI471" s="36"/>
      <c r="CJ471" s="36"/>
      <c r="CK471" s="36"/>
      <c r="CL471" s="36"/>
      <c r="CM471" s="37"/>
      <c r="CN471" s="36"/>
      <c r="CO471" s="36"/>
      <c r="CP471" s="36"/>
      <c r="CQ471" s="36"/>
      <c r="CR471" s="36"/>
      <c r="CS471" s="36"/>
      <c r="CT471" s="36"/>
      <c r="CU471" s="36"/>
      <c r="CV471" s="36"/>
      <c r="CW471" s="36"/>
      <c r="CX471" s="36"/>
      <c r="CY471" s="36"/>
      <c r="CZ471" s="36"/>
      <c r="DA471" s="36"/>
      <c r="DB471" s="36"/>
      <c r="DC471" s="36"/>
      <c r="DD471" s="36"/>
      <c r="DE471" s="36"/>
      <c r="DF471" s="36"/>
      <c r="DG471" s="36"/>
      <c r="DH471" s="36"/>
      <c r="DI471" s="36"/>
      <c r="DJ471" s="36"/>
      <c r="DK471" s="36"/>
      <c r="DL471" s="36"/>
      <c r="DM471" s="36"/>
      <c r="DN471" s="36"/>
      <c r="DO471" s="36"/>
      <c r="DP471" s="36"/>
      <c r="DQ471" s="36"/>
      <c r="DR471" s="36"/>
      <c r="DS471" s="36"/>
      <c r="DT471" s="36"/>
      <c r="DU471" s="36"/>
      <c r="DV471" s="36"/>
      <c r="DW471" s="36"/>
      <c r="DX471" s="36"/>
      <c r="DY471" s="36"/>
    </row>
    <row r="472" spans="84:129" ht="9" customHeight="1" x14ac:dyDescent="0.2">
      <c r="CF472" s="36"/>
      <c r="CG472" s="36"/>
      <c r="CH472" s="36"/>
      <c r="CI472" s="36"/>
      <c r="CJ472" s="36"/>
      <c r="CK472" s="36"/>
      <c r="CL472" s="36"/>
      <c r="CM472" s="37"/>
      <c r="CN472" s="36"/>
      <c r="CO472" s="36"/>
      <c r="CP472" s="36"/>
      <c r="CQ472" s="36"/>
      <c r="CR472" s="36"/>
      <c r="CS472" s="36"/>
      <c r="CT472" s="36"/>
      <c r="CU472" s="36"/>
      <c r="CV472" s="36"/>
      <c r="CW472" s="36"/>
      <c r="CX472" s="36"/>
      <c r="CY472" s="36"/>
      <c r="CZ472" s="36"/>
      <c r="DA472" s="36"/>
      <c r="DB472" s="36"/>
      <c r="DC472" s="36"/>
      <c r="DD472" s="36"/>
      <c r="DE472" s="36"/>
      <c r="DF472" s="36"/>
      <c r="DG472" s="36"/>
      <c r="DH472" s="36"/>
      <c r="DI472" s="36"/>
      <c r="DJ472" s="36"/>
      <c r="DK472" s="36"/>
      <c r="DL472" s="36"/>
      <c r="DM472" s="36"/>
      <c r="DN472" s="36"/>
      <c r="DO472" s="36"/>
      <c r="DP472" s="36"/>
      <c r="DQ472" s="36"/>
      <c r="DR472" s="36"/>
      <c r="DS472" s="36"/>
      <c r="DT472" s="36"/>
      <c r="DU472" s="36"/>
      <c r="DV472" s="36"/>
      <c r="DW472" s="36"/>
      <c r="DX472" s="36"/>
      <c r="DY472" s="36"/>
    </row>
  </sheetData>
  <sheetProtection password="9025" sheet="1" objects="1" scenarios="1" selectLockedCells="1"/>
  <mergeCells count="329">
    <mergeCell ref="BY52:CE52"/>
    <mergeCell ref="I52:O52"/>
    <mergeCell ref="DI64:DK64"/>
    <mergeCell ref="BX43:BX44"/>
    <mergeCell ref="BX45:BX46"/>
    <mergeCell ref="BX47:BX48"/>
    <mergeCell ref="BX49:BX50"/>
    <mergeCell ref="BX51:BX52"/>
    <mergeCell ref="BX53:BX54"/>
    <mergeCell ref="BX55:BX56"/>
    <mergeCell ref="BX57:BX58"/>
    <mergeCell ref="BX59:BX60"/>
    <mergeCell ref="CU64:CZ64"/>
    <mergeCell ref="DG64:DH64"/>
    <mergeCell ref="CM53:CM54"/>
    <mergeCell ref="CM55:CM56"/>
    <mergeCell ref="CM57:CM58"/>
    <mergeCell ref="CM59:CM60"/>
    <mergeCell ref="BY57:CE60"/>
    <mergeCell ref="BY56:CE56"/>
    <mergeCell ref="CF53:CL54"/>
    <mergeCell ref="CF55:CL56"/>
    <mergeCell ref="CF57:CL58"/>
    <mergeCell ref="CF59:CL60"/>
    <mergeCell ref="CM45:CM46"/>
    <mergeCell ref="CM47:CM48"/>
    <mergeCell ref="BX5:BX6"/>
    <mergeCell ref="BX7:BX8"/>
    <mergeCell ref="BX9:BX10"/>
    <mergeCell ref="BX11:BX12"/>
    <mergeCell ref="BX13:BX14"/>
    <mergeCell ref="BX25:BX26"/>
    <mergeCell ref="BX27:BX28"/>
    <mergeCell ref="BX29:BX30"/>
    <mergeCell ref="BX31:BX32"/>
    <mergeCell ref="CF47:CL48"/>
    <mergeCell ref="CF43:CL44"/>
    <mergeCell ref="CF45:CL46"/>
    <mergeCell ref="P49:P50"/>
    <mergeCell ref="BX15:BX16"/>
    <mergeCell ref="BX17:BX18"/>
    <mergeCell ref="BX19:BX20"/>
    <mergeCell ref="BX21:BX22"/>
    <mergeCell ref="BX23:BX24"/>
    <mergeCell ref="BX33:BX34"/>
    <mergeCell ref="BX35:BX36"/>
    <mergeCell ref="BX37:BX38"/>
    <mergeCell ref="BX39:BX40"/>
    <mergeCell ref="BX41:BX42"/>
    <mergeCell ref="Q29:T33"/>
    <mergeCell ref="U29:U33"/>
    <mergeCell ref="V29:W33"/>
    <mergeCell ref="P33:P34"/>
    <mergeCell ref="P19:P20"/>
    <mergeCell ref="P21:P22"/>
    <mergeCell ref="P35:P36"/>
    <mergeCell ref="P37:P38"/>
    <mergeCell ref="P39:P40"/>
    <mergeCell ref="P41:P42"/>
    <mergeCell ref="P43:P44"/>
    <mergeCell ref="P45:P46"/>
    <mergeCell ref="P47:P48"/>
    <mergeCell ref="P53:P54"/>
    <mergeCell ref="P55:P56"/>
    <mergeCell ref="P57:P58"/>
    <mergeCell ref="I5:O6"/>
    <mergeCell ref="BY5:CE6"/>
    <mergeCell ref="I7:O8"/>
    <mergeCell ref="BY7:CE8"/>
    <mergeCell ref="B41:H42"/>
    <mergeCell ref="BS39:BS43"/>
    <mergeCell ref="BT39:BW43"/>
    <mergeCell ref="B43:H44"/>
    <mergeCell ref="B45:H46"/>
    <mergeCell ref="B9:H10"/>
    <mergeCell ref="B11:H12"/>
    <mergeCell ref="B13:H14"/>
    <mergeCell ref="Q34:T38"/>
    <mergeCell ref="U34:U38"/>
    <mergeCell ref="V34:W38"/>
    <mergeCell ref="Q39:T43"/>
    <mergeCell ref="U39:U43"/>
    <mergeCell ref="V39:W43"/>
    <mergeCell ref="Q24:T28"/>
    <mergeCell ref="U24:U28"/>
    <mergeCell ref="P5:P6"/>
    <mergeCell ref="BL6:BP6"/>
    <mergeCell ref="BL7:BP8"/>
    <mergeCell ref="AW2:BA5"/>
    <mergeCell ref="AW6:BA6"/>
    <mergeCell ref="AW7:BA8"/>
    <mergeCell ref="B47:H48"/>
    <mergeCell ref="B49:H50"/>
    <mergeCell ref="B51:H52"/>
    <mergeCell ref="B53:H54"/>
    <mergeCell ref="U54:W56"/>
    <mergeCell ref="Q54:T60"/>
    <mergeCell ref="U57:W60"/>
    <mergeCell ref="Q44:T48"/>
    <mergeCell ref="U44:U48"/>
    <mergeCell ref="V44:W48"/>
    <mergeCell ref="Q49:T53"/>
    <mergeCell ref="U49:U53"/>
    <mergeCell ref="V49:W53"/>
    <mergeCell ref="B55:H56"/>
    <mergeCell ref="B57:H58"/>
    <mergeCell ref="B59:H60"/>
    <mergeCell ref="I57:O60"/>
    <mergeCell ref="I56:O56"/>
    <mergeCell ref="P59:P60"/>
    <mergeCell ref="B25:H26"/>
    <mergeCell ref="B27:H28"/>
    <mergeCell ref="B29:H30"/>
    <mergeCell ref="B31:H32"/>
    <mergeCell ref="B33:H34"/>
    <mergeCell ref="B35:H36"/>
    <mergeCell ref="B37:H38"/>
    <mergeCell ref="B39:H40"/>
    <mergeCell ref="CF2:CL2"/>
    <mergeCell ref="BY2:CE2"/>
    <mergeCell ref="BY3:CL4"/>
    <mergeCell ref="AH2:AL5"/>
    <mergeCell ref="AH6:AL6"/>
    <mergeCell ref="AH7:AL8"/>
    <mergeCell ref="B5:H6"/>
    <mergeCell ref="B7:H8"/>
    <mergeCell ref="CF5:CL6"/>
    <mergeCell ref="CF7:CL8"/>
    <mergeCell ref="Q2:W8"/>
    <mergeCell ref="AR7:AV8"/>
    <mergeCell ref="X2:AB5"/>
    <mergeCell ref="X6:AB6"/>
    <mergeCell ref="X7:AB8"/>
    <mergeCell ref="J2:O2"/>
    <mergeCell ref="BQ24:BR28"/>
    <mergeCell ref="BS24:BS28"/>
    <mergeCell ref="BT24:BW28"/>
    <mergeCell ref="BQ29:BR33"/>
    <mergeCell ref="BS29:BS33"/>
    <mergeCell ref="BT29:BW33"/>
    <mergeCell ref="AR56:AV56"/>
    <mergeCell ref="AR57:AV60"/>
    <mergeCell ref="BQ54:BW60"/>
    <mergeCell ref="AO31:AX40"/>
    <mergeCell ref="AO29:AX30"/>
    <mergeCell ref="BQ49:BR53"/>
    <mergeCell ref="BS49:BS53"/>
    <mergeCell ref="BT49:BW53"/>
    <mergeCell ref="AM56:AQ56"/>
    <mergeCell ref="AM57:AQ60"/>
    <mergeCell ref="AR54:AV55"/>
    <mergeCell ref="BQ39:BR43"/>
    <mergeCell ref="BL54:BP55"/>
    <mergeCell ref="BG54:BK60"/>
    <mergeCell ref="BB54:BF55"/>
    <mergeCell ref="BB56:BF56"/>
    <mergeCell ref="BB57:BF60"/>
    <mergeCell ref="AW54:BA60"/>
    <mergeCell ref="AM54:AQ55"/>
    <mergeCell ref="AR24:AS25"/>
    <mergeCell ref="AT24:AU25"/>
    <mergeCell ref="AV24:AW25"/>
    <mergeCell ref="AM7:AQ8"/>
    <mergeCell ref="AG47:BG51"/>
    <mergeCell ref="AH54:AL60"/>
    <mergeCell ref="BA29:BN30"/>
    <mergeCell ref="BL56:BP56"/>
    <mergeCell ref="BL57:BP60"/>
    <mergeCell ref="AR2:AV5"/>
    <mergeCell ref="AR6:AV6"/>
    <mergeCell ref="AC54:AG55"/>
    <mergeCell ref="BS14:BS18"/>
    <mergeCell ref="BT14:BW18"/>
    <mergeCell ref="BQ2:BW8"/>
    <mergeCell ref="BT9:BW13"/>
    <mergeCell ref="BS9:BS13"/>
    <mergeCell ref="BQ9:BR13"/>
    <mergeCell ref="BG2:BK5"/>
    <mergeCell ref="BG6:BK6"/>
    <mergeCell ref="BG7:BK8"/>
    <mergeCell ref="AL15:AM16"/>
    <mergeCell ref="AL17:AM18"/>
    <mergeCell ref="BQ14:BR18"/>
    <mergeCell ref="AV20:AW21"/>
    <mergeCell ref="AR22:AS23"/>
    <mergeCell ref="AT22:AU23"/>
    <mergeCell ref="AV22:AW23"/>
    <mergeCell ref="BL2:BP5"/>
    <mergeCell ref="BQ19:BW23"/>
    <mergeCell ref="BQ34:BW38"/>
    <mergeCell ref="BQ44:BW48"/>
    <mergeCell ref="BB2:BF5"/>
    <mergeCell ref="BB6:BF6"/>
    <mergeCell ref="BB7:BF8"/>
    <mergeCell ref="AR20:AS21"/>
    <mergeCell ref="AT20:AU21"/>
    <mergeCell ref="B15:H16"/>
    <mergeCell ref="B17:H18"/>
    <mergeCell ref="B19:H20"/>
    <mergeCell ref="B21:H22"/>
    <mergeCell ref="AJ12:AK13"/>
    <mergeCell ref="AH15:AI16"/>
    <mergeCell ref="AJ15:AK16"/>
    <mergeCell ref="AH17:AI18"/>
    <mergeCell ref="AJ17:AK18"/>
    <mergeCell ref="Q14:T18"/>
    <mergeCell ref="U14:U18"/>
    <mergeCell ref="V14:W18"/>
    <mergeCell ref="Q19:W23"/>
    <mergeCell ref="Q9:T13"/>
    <mergeCell ref="U9:U13"/>
    <mergeCell ref="V9:W13"/>
    <mergeCell ref="AT17:AU18"/>
    <mergeCell ref="B23:H24"/>
    <mergeCell ref="AC2:AG8"/>
    <mergeCell ref="V24:W28"/>
    <mergeCell ref="AM2:AQ5"/>
    <mergeCell ref="AM6:AQ6"/>
    <mergeCell ref="A5:A6"/>
    <mergeCell ref="A7:A8"/>
    <mergeCell ref="A9:A10"/>
    <mergeCell ref="A11:A12"/>
    <mergeCell ref="A13:A14"/>
    <mergeCell ref="A15:A16"/>
    <mergeCell ref="A17:A18"/>
    <mergeCell ref="B2:I2"/>
    <mergeCell ref="B3:O4"/>
    <mergeCell ref="P7:P8"/>
    <mergeCell ref="P9:P10"/>
    <mergeCell ref="P11:P12"/>
    <mergeCell ref="P13:P14"/>
    <mergeCell ref="P15:P16"/>
    <mergeCell ref="P17:P18"/>
    <mergeCell ref="A19:A20"/>
    <mergeCell ref="A21:A22"/>
    <mergeCell ref="A57:A58"/>
    <mergeCell ref="A23:A24"/>
    <mergeCell ref="A25:A26"/>
    <mergeCell ref="A27:A28"/>
    <mergeCell ref="A29:A30"/>
    <mergeCell ref="A31:A32"/>
    <mergeCell ref="A33:A34"/>
    <mergeCell ref="A35:A36"/>
    <mergeCell ref="A37:A38"/>
    <mergeCell ref="A39:A40"/>
    <mergeCell ref="A59:A60"/>
    <mergeCell ref="CF27:CL28"/>
    <mergeCell ref="CF29:CL30"/>
    <mergeCell ref="CF31:CL32"/>
    <mergeCell ref="CF33:CL34"/>
    <mergeCell ref="CF35:CL36"/>
    <mergeCell ref="CF37:CL38"/>
    <mergeCell ref="CF39:CL40"/>
    <mergeCell ref="CF41:CL42"/>
    <mergeCell ref="I49:O50"/>
    <mergeCell ref="BY49:CE50"/>
    <mergeCell ref="X57:AB60"/>
    <mergeCell ref="X56:AB56"/>
    <mergeCell ref="X54:AB55"/>
    <mergeCell ref="AC56:AG56"/>
    <mergeCell ref="AC57:AG60"/>
    <mergeCell ref="A41:A42"/>
    <mergeCell ref="A43:A44"/>
    <mergeCell ref="A45:A46"/>
    <mergeCell ref="A47:A48"/>
    <mergeCell ref="A49:A50"/>
    <mergeCell ref="A51:A52"/>
    <mergeCell ref="A53:A54"/>
    <mergeCell ref="A55:A56"/>
    <mergeCell ref="CM49:CM50"/>
    <mergeCell ref="CM51:CM52"/>
    <mergeCell ref="BY9:CE10"/>
    <mergeCell ref="I9:O10"/>
    <mergeCell ref="CF9:CL10"/>
    <mergeCell ref="CF11:CL12"/>
    <mergeCell ref="CF13:CL14"/>
    <mergeCell ref="CF15:CL16"/>
    <mergeCell ref="CF17:CL18"/>
    <mergeCell ref="CF19:CL20"/>
    <mergeCell ref="CF21:CL22"/>
    <mergeCell ref="CF23:CL24"/>
    <mergeCell ref="CF25:CL26"/>
    <mergeCell ref="AH19:AI20"/>
    <mergeCell ref="AJ19:AK20"/>
    <mergeCell ref="AL19:AM20"/>
    <mergeCell ref="P23:P24"/>
    <mergeCell ref="P25:P26"/>
    <mergeCell ref="P27:P28"/>
    <mergeCell ref="P29:P30"/>
    <mergeCell ref="BG12:BM13"/>
    <mergeCell ref="BG14:BM17"/>
    <mergeCell ref="P31:P32"/>
    <mergeCell ref="P51:P52"/>
    <mergeCell ref="BY53:CE55"/>
    <mergeCell ref="I53:O55"/>
    <mergeCell ref="CM5:CM6"/>
    <mergeCell ref="CM7:CM8"/>
    <mergeCell ref="CM9:CM10"/>
    <mergeCell ref="CM11:CM12"/>
    <mergeCell ref="CM13:CM14"/>
    <mergeCell ref="CM15:CM16"/>
    <mergeCell ref="CM17:CM18"/>
    <mergeCell ref="CM19:CM20"/>
    <mergeCell ref="CM21:CM22"/>
    <mergeCell ref="CM23:CM24"/>
    <mergeCell ref="CM25:CM26"/>
    <mergeCell ref="CM27:CM28"/>
    <mergeCell ref="CM29:CM30"/>
    <mergeCell ref="CM31:CM32"/>
    <mergeCell ref="CM33:CM34"/>
    <mergeCell ref="CM35:CM36"/>
    <mergeCell ref="CM37:CM38"/>
    <mergeCell ref="CM39:CM40"/>
    <mergeCell ref="CM41:CM42"/>
    <mergeCell ref="CM43:CM44"/>
    <mergeCell ref="CF49:CL50"/>
    <mergeCell ref="CF51:CL52"/>
    <mergeCell ref="CS126:CW126"/>
    <mergeCell ref="CS117:CW117"/>
    <mergeCell ref="CS119:CW119"/>
    <mergeCell ref="CS120:CW120"/>
    <mergeCell ref="CS121:CW121"/>
    <mergeCell ref="CS122:CW122"/>
    <mergeCell ref="CS110:CW110"/>
    <mergeCell ref="CS111:CW111"/>
    <mergeCell ref="CS112:CW112"/>
    <mergeCell ref="CS113:CW113"/>
    <mergeCell ref="CS114:CW114"/>
    <mergeCell ref="CS115:CW115"/>
  </mergeCells>
  <conditionalFormatting sqref="BL56:BP56 BB56:BF56 AM56:AV56 X56:AG56">
    <cfRule type="cellIs" dxfId="59" priority="64" operator="equal">
      <formula>$BY$3</formula>
    </cfRule>
    <cfRule type="cellIs" dxfId="58" priority="65" operator="equal">
      <formula>$B$3</formula>
    </cfRule>
  </conditionalFormatting>
  <conditionalFormatting sqref="U24:U53 U9:U18 X6:AB6 AH6:BP6 BS9:BS18 BS24:BS33 BS39:BS43 BS49:BS53">
    <cfRule type="cellIs" dxfId="57" priority="62" operator="equal">
      <formula>$BY$3</formula>
    </cfRule>
    <cfRule type="cellIs" dxfId="56" priority="63" operator="equal">
      <formula>$B$3</formula>
    </cfRule>
  </conditionalFormatting>
  <conditionalFormatting sqref="BB57:BF60">
    <cfRule type="expression" dxfId="55" priority="57">
      <formula>AND($BB$56=$B$3,$BB$56=$BL$56)</formula>
    </cfRule>
    <cfRule type="expression" dxfId="54" priority="52">
      <formula>AND($BB$56=$BY$3,$BB$56=$BL$56)</formula>
    </cfRule>
  </conditionalFormatting>
  <conditionalFormatting sqref="AM57:AQ60">
    <cfRule type="expression" dxfId="53" priority="56">
      <formula>AND($AM$56=$B$3,$AM$56=$AC$56,$AM$56=$X$56)</formula>
    </cfRule>
    <cfRule type="expression" dxfId="52" priority="51">
      <formula>AND($AM$56=$BY$3,$AM$56=$AC$56,$AM$56=$X$56)</formula>
    </cfRule>
  </conditionalFormatting>
  <conditionalFormatting sqref="AC57:AG60">
    <cfRule type="expression" dxfId="51" priority="55">
      <formula>AND($AC$56=$B$3,$AC$56=$AM$56,$AC$56=$X$56)</formula>
    </cfRule>
    <cfRule type="expression" dxfId="50" priority="50">
      <formula>AND($AC$56=$BY$3,$AC$56=$AM$56,$AC$56=$X$56)</formula>
    </cfRule>
  </conditionalFormatting>
  <conditionalFormatting sqref="X57:AB60">
    <cfRule type="expression" dxfId="49" priority="54">
      <formula>AND($X$56=$B$3,$X$56=$AC$56,$X$56=$AM$56)</formula>
    </cfRule>
    <cfRule type="expression" dxfId="48" priority="49">
      <formula>AND($X$56=$BY$3,$X$56=$AC$56,$X$56=$AM$56)</formula>
    </cfRule>
  </conditionalFormatting>
  <conditionalFormatting sqref="Q49:T53">
    <cfRule type="expression" dxfId="47" priority="48">
      <formula>AND($U$49=$B$3,$U$49=$U$39,$U$49=$U$34)</formula>
    </cfRule>
    <cfRule type="expression" dxfId="46" priority="45">
      <formula>AND($U$49=$BY$3,$U$49=$U$39,$U$49=$U$34)</formula>
    </cfRule>
  </conditionalFormatting>
  <conditionalFormatting sqref="Q39:T43">
    <cfRule type="expression" dxfId="45" priority="47">
      <formula>AND($U$39=$B$3,$U$39=$U$49,$U$39=$U$34)</formula>
    </cfRule>
    <cfRule type="expression" dxfId="44" priority="44">
      <formula>AND($U$39=$BY$3,$U$39=$U$49,$U$39=$U$34)</formula>
    </cfRule>
  </conditionalFormatting>
  <conditionalFormatting sqref="Q34:T38">
    <cfRule type="expression" dxfId="43" priority="46">
      <formula>AND($U$34=$B$3,$U$34=$U$39,$U$34=$U$49)</formula>
    </cfRule>
    <cfRule type="expression" dxfId="42" priority="43">
      <formula>AND($U$34=$BY$3,$U$34=$U$39,$U$34=$U$49)</formula>
    </cfRule>
  </conditionalFormatting>
  <conditionalFormatting sqref="Q24:T28">
    <cfRule type="expression" dxfId="41" priority="42">
      <formula>AND($U$24=$B$3,$U$24=$U$14,$U$24=$U$9)</formula>
    </cfRule>
    <cfRule type="expression" dxfId="40" priority="39">
      <formula>AND($U$24=$BY$3,$U$24=$U$14,$U$24=$U$9)</formula>
    </cfRule>
  </conditionalFormatting>
  <conditionalFormatting sqref="Q14:T18">
    <cfRule type="expression" dxfId="39" priority="41">
      <formula>AND($U$14=$B$3,$U$14=$U$24,$U$14=$U$9)</formula>
    </cfRule>
    <cfRule type="expression" dxfId="38" priority="38">
      <formula>AND($U$14=$BY$3,$U$14=$U$24,$U$14=$U$9)</formula>
    </cfRule>
  </conditionalFormatting>
  <conditionalFormatting sqref="Q9:T13">
    <cfRule type="expression" dxfId="37" priority="40">
      <formula>AND($U$9=$B$3,$U$9=$U$14,$U$9=$U$24)</formula>
    </cfRule>
    <cfRule type="expression" dxfId="36" priority="37">
      <formula>AND($U$9=$BY$3,$U$9=$U$14,$U$9=$U$24)</formula>
    </cfRule>
  </conditionalFormatting>
  <conditionalFormatting sqref="BT49:BW53">
    <cfRule type="expression" dxfId="35" priority="36">
      <formula>AND($BS$49=$B$3,$BS$49=$BS$39)</formula>
    </cfRule>
    <cfRule type="expression" dxfId="34" priority="35">
      <formula>AND($BS$49=$BY$3,$BS$49=$BS$39)</formula>
    </cfRule>
  </conditionalFormatting>
  <conditionalFormatting sqref="BT39:BW43">
    <cfRule type="expression" dxfId="33" priority="34">
      <formula>AND($BS$39=$B$3,$BS$39=$BS$49)</formula>
    </cfRule>
    <cfRule type="expression" dxfId="32" priority="33">
      <formula>AND($BS$39=$BY$3,$BS$39=$BS$49)</formula>
    </cfRule>
  </conditionalFormatting>
  <conditionalFormatting sqref="BT24:BW28">
    <cfRule type="expression" dxfId="31" priority="32">
      <formula>AND($BS$24=$B$3,$BS$24=$BS$14,$BS$24=$BS$9)</formula>
    </cfRule>
    <cfRule type="expression" dxfId="30" priority="29">
      <formula>AND($BS$24=$BY$3,$BS$24=$BS$14,$BS$24=$BS$9)</formula>
    </cfRule>
  </conditionalFormatting>
  <conditionalFormatting sqref="BT14:BW18">
    <cfRule type="expression" dxfId="29" priority="31">
      <formula>AND($BS$14=$B$3,$BS$14=$BS$24,$BS$14=$BS$9)</formula>
    </cfRule>
    <cfRule type="expression" dxfId="28" priority="28">
      <formula>AND($BS$14=$BY$3,$BS$14=$BS$24,$BS$14=$BS$9)</formula>
    </cfRule>
  </conditionalFormatting>
  <conditionalFormatting sqref="BT9:BW13">
    <cfRule type="expression" dxfId="27" priority="30">
      <formula>AND($BS$9=$B$3,$BS$9=$BS$14,$BS$9=$BS$24)</formula>
    </cfRule>
    <cfRule type="expression" dxfId="26" priority="27">
      <formula>AND($BS$9=$BY$3,$BS$9=$BS$14,$BS$9=$BS$24)</formula>
    </cfRule>
  </conditionalFormatting>
  <conditionalFormatting sqref="X2:AB5">
    <cfRule type="expression" dxfId="25" priority="26">
      <formula>AND($X$6=$B$3,$X$6=$AH$6,$X$6=$AM$6)</formula>
    </cfRule>
    <cfRule type="expression" dxfId="24" priority="23">
      <formula>AND($X$6=$BY$3,$X$6=$AH$6,$X$6=$AM$6)</formula>
    </cfRule>
  </conditionalFormatting>
  <conditionalFormatting sqref="AH2:AL5">
    <cfRule type="expression" dxfId="23" priority="25">
      <formula>AND($AH$6=$B$3,$AH$6=$X$6,$AH$6=$AM$6)</formula>
    </cfRule>
    <cfRule type="expression" dxfId="22" priority="22">
      <formula>AND($AH$6=$BY$3,$AH$6=$X$6,$AH$6=$AM$6)</formula>
    </cfRule>
  </conditionalFormatting>
  <conditionalFormatting sqref="AM2:AQ5">
    <cfRule type="expression" dxfId="21" priority="24">
      <formula>AND($AM$6=$B$3,$AM$6=$AH$6,$AM$6=$X$6)</formula>
    </cfRule>
    <cfRule type="expression" dxfId="20" priority="21">
      <formula>AND($AM$6=$BY$3,$AM$6=$AH$6,$AM$6=$X$6)</formula>
    </cfRule>
  </conditionalFormatting>
  <conditionalFormatting sqref="AW2:BA5">
    <cfRule type="expression" dxfId="19" priority="20">
      <formula>AND($AW$6=$B$3,$AW$6=$BB$6,$AW$6=$BL$6)</formula>
    </cfRule>
    <cfRule type="expression" dxfId="18" priority="19">
      <formula>AND($AW$6=$BY$3,$AW$6=$BB$6,$AW$6=$BL$6)</formula>
    </cfRule>
  </conditionalFormatting>
  <conditionalFormatting sqref="BB2:BF5">
    <cfRule type="expression" dxfId="17" priority="18">
      <formula>AND($BB$6=$B$3,$BB$6=$AW$6,$BB$6=$BL$6)</formula>
    </cfRule>
    <cfRule type="expression" dxfId="16" priority="17">
      <formula>AND($BB$6=$BY$3,$BB$6=$AW$6,$BB$6=$BL$6)</formula>
    </cfRule>
  </conditionalFormatting>
  <conditionalFormatting sqref="BL2:BP5">
    <cfRule type="expression" dxfId="15" priority="16">
      <formula>AND($BL$6=$B$3,$BL$6=$BB$6,$BL$6=$AW$6)</formula>
    </cfRule>
    <cfRule type="expression" dxfId="14" priority="15">
      <formula>AND($BL$6=$BY$3,$BL$6=$BB$6,$BL$6=$AW$6)</formula>
    </cfRule>
  </conditionalFormatting>
  <conditionalFormatting sqref="BG2:BK5">
    <cfRule type="expression" dxfId="13" priority="14">
      <formula>AND($BG$6=$B$3,$BG$6=$U$44)</formula>
    </cfRule>
    <cfRule type="expression" dxfId="12" priority="13">
      <formula>AND($BG$6=$BY$3,$BG$6=$U$44)</formula>
    </cfRule>
  </conditionalFormatting>
  <conditionalFormatting sqref="Q44:T48">
    <cfRule type="expression" dxfId="11" priority="12">
      <formula>AND($U$44=$B$3,$U$44=$BG$6)</formula>
    </cfRule>
    <cfRule type="expression" dxfId="10" priority="11">
      <formula>AND($U$44=$BY$3,$U$44=$BG$6)</formula>
    </cfRule>
  </conditionalFormatting>
  <conditionalFormatting sqref="Q29:T33">
    <cfRule type="expression" dxfId="9" priority="10">
      <formula>AND($U$29=$B$3,$U$29=$AR$6,$U$29=$AR$56,$U$29=$BS$29)</formula>
    </cfRule>
    <cfRule type="expression" dxfId="8" priority="9">
      <formula>AND($U$29=$BY$3,$U$29=$AR$6,$U$29=$AR$56,$U$29=$BS$29)</formula>
    </cfRule>
  </conditionalFormatting>
  <conditionalFormatting sqref="AR2:AV5">
    <cfRule type="expression" dxfId="7" priority="8">
      <formula>AND($AR$6=$B$3,$AR$6=$U$29,$AR$6=$BS$29,$AR$6=$AR$56)</formula>
    </cfRule>
    <cfRule type="expression" dxfId="6" priority="7">
      <formula>AND($AR$6=$BY$3,$AR$6=$U$29,$AR$6=$BS$29,$AR$6=$AR$56)</formula>
    </cfRule>
  </conditionalFormatting>
  <conditionalFormatting sqref="BT29:BW33">
    <cfRule type="expression" dxfId="5" priority="6">
      <formula>AND($BS$29=$B$3,$BS$29=$AR$6,$BS$29=$AR$56,$BS$29=$U$29)</formula>
    </cfRule>
    <cfRule type="expression" dxfId="4" priority="5">
      <formula>AND($BS$29=$BY$3,$BS$29=$AR$6,$BS$29=$AR$56,$BS$29=$U$29)</formula>
    </cfRule>
  </conditionalFormatting>
  <conditionalFormatting sqref="AR57:AV60">
    <cfRule type="expression" dxfId="3" priority="4">
      <formula>AND($AR$56=$B$3,$AR$56=$U$29,$AR$56=$BS$29,$AR$56=$AR$6)</formula>
    </cfRule>
    <cfRule type="expression" dxfId="2" priority="3">
      <formula>AND($AR$56=$BY$3,$AR$56=$U$29,$AR$56=$BS$29,$AR$56=$AR$6)</formula>
    </cfRule>
  </conditionalFormatting>
  <conditionalFormatting sqref="BL57:BP60">
    <cfRule type="expression" dxfId="1" priority="1">
      <formula>AND($BB$56=$BY$3,$BB$56=$BL$56)</formula>
    </cfRule>
    <cfRule type="expression" dxfId="0" priority="2">
      <formula>AND($BB$56=$B$3,$BB$56=$BL$56)</formula>
    </cfRule>
  </conditionalFormatting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67" r:id="rId4" name="cmdMontreal">
          <controlPr defaultSize="0" autoLine="0" r:id="rId5">
            <anchor moveWithCells="1">
              <from>
                <xdr:col>68</xdr:col>
                <xdr:colOff>9525</xdr:colOff>
                <xdr:row>48</xdr:row>
                <xdr:rowOff>9525</xdr:rowOff>
              </from>
              <to>
                <xdr:col>70</xdr:col>
                <xdr:colOff>0</xdr:colOff>
                <xdr:row>53</xdr:row>
                <xdr:rowOff>9525</xdr:rowOff>
              </to>
            </anchor>
          </controlPr>
        </control>
      </mc:Choice>
      <mc:Fallback>
        <control shapeId="1067" r:id="rId4" name="cmdMontreal"/>
      </mc:Fallback>
    </mc:AlternateContent>
    <mc:AlternateContent xmlns:mc="http://schemas.openxmlformats.org/markup-compatibility/2006">
      <mc:Choice Requires="x14">
        <control shapeId="1066" r:id="rId6" name="cmdMRaumf">
          <controlPr defaultSize="0" autoLine="0" r:id="rId7">
            <anchor moveWithCells="1">
              <from>
                <xdr:col>68</xdr:col>
                <xdr:colOff>9525</xdr:colOff>
                <xdr:row>28</xdr:row>
                <xdr:rowOff>9525</xdr:rowOff>
              </from>
              <to>
                <xdr:col>70</xdr:col>
                <xdr:colOff>0</xdr:colOff>
                <xdr:row>33</xdr:row>
                <xdr:rowOff>9525</xdr:rowOff>
              </to>
            </anchor>
          </controlPr>
        </control>
      </mc:Choice>
      <mc:Fallback>
        <control shapeId="1066" r:id="rId6" name="cmdMRaumf"/>
      </mc:Fallback>
    </mc:AlternateContent>
    <mc:AlternateContent xmlns:mc="http://schemas.openxmlformats.org/markup-compatibility/2006">
      <mc:Choice Requires="x14">
        <control shapeId="1065" r:id="rId8" name="cmdRiga">
          <controlPr defaultSize="0" autoLine="0" r:id="rId5">
            <anchor moveWithCells="1">
              <from>
                <xdr:col>68</xdr:col>
                <xdr:colOff>9525</xdr:colOff>
                <xdr:row>38</xdr:row>
                <xdr:rowOff>9525</xdr:rowOff>
              </from>
              <to>
                <xdr:col>70</xdr:col>
                <xdr:colOff>0</xdr:colOff>
                <xdr:row>43</xdr:row>
                <xdr:rowOff>9525</xdr:rowOff>
              </to>
            </anchor>
          </controlPr>
        </control>
      </mc:Choice>
      <mc:Fallback>
        <control shapeId="1065" r:id="rId8" name="cmdRiga"/>
      </mc:Fallback>
    </mc:AlternateContent>
    <mc:AlternateContent xmlns:mc="http://schemas.openxmlformats.org/markup-compatibility/2006">
      <mc:Choice Requires="x14">
        <control shapeId="1064" r:id="rId9" name="cmdKapstadt">
          <controlPr defaultSize="0" autoLine="0" r:id="rId10">
            <anchor moveWithCells="1">
              <from>
                <xdr:col>68</xdr:col>
                <xdr:colOff>9525</xdr:colOff>
                <xdr:row>23</xdr:row>
                <xdr:rowOff>9525</xdr:rowOff>
              </from>
              <to>
                <xdr:col>70</xdr:col>
                <xdr:colOff>0</xdr:colOff>
                <xdr:row>28</xdr:row>
                <xdr:rowOff>9525</xdr:rowOff>
              </to>
            </anchor>
          </controlPr>
        </control>
      </mc:Choice>
      <mc:Fallback>
        <control shapeId="1064" r:id="rId9" name="cmdKapstadt"/>
      </mc:Fallback>
    </mc:AlternateContent>
    <mc:AlternateContent xmlns:mc="http://schemas.openxmlformats.org/markup-compatibility/2006">
      <mc:Choice Requires="x14">
        <control shapeId="1062" r:id="rId11" name="cmdBelgrad">
          <controlPr defaultSize="0" autoLine="0" r:id="rId10">
            <anchor moveWithCells="1">
              <from>
                <xdr:col>68</xdr:col>
                <xdr:colOff>9525</xdr:colOff>
                <xdr:row>13</xdr:row>
                <xdr:rowOff>9525</xdr:rowOff>
              </from>
              <to>
                <xdr:col>70</xdr:col>
                <xdr:colOff>0</xdr:colOff>
                <xdr:row>18</xdr:row>
                <xdr:rowOff>9525</xdr:rowOff>
              </to>
            </anchor>
          </controlPr>
        </control>
      </mc:Choice>
      <mc:Fallback>
        <control shapeId="1062" r:id="rId11" name="cmdBelgrad"/>
      </mc:Fallback>
    </mc:AlternateContent>
    <mc:AlternateContent xmlns:mc="http://schemas.openxmlformats.org/markup-compatibility/2006">
      <mc:Choice Requires="x14">
        <control shapeId="1061" r:id="rId12" name="cmdParis">
          <controlPr defaultSize="0" autoLine="0" r:id="rId10">
            <anchor moveWithCells="1">
              <from>
                <xdr:col>68</xdr:col>
                <xdr:colOff>9525</xdr:colOff>
                <xdr:row>8</xdr:row>
                <xdr:rowOff>9525</xdr:rowOff>
              </from>
              <to>
                <xdr:col>70</xdr:col>
                <xdr:colOff>0</xdr:colOff>
                <xdr:row>13</xdr:row>
                <xdr:rowOff>9525</xdr:rowOff>
              </to>
            </anchor>
          </controlPr>
        </control>
      </mc:Choice>
      <mc:Fallback>
        <control shapeId="1061" r:id="rId12" name="cmdParis"/>
      </mc:Fallback>
    </mc:AlternateContent>
    <mc:AlternateContent xmlns:mc="http://schemas.openxmlformats.org/markup-compatibility/2006">
      <mc:Choice Requires="x14">
        <control shapeId="1060" r:id="rId13" name="cmdRom">
          <controlPr defaultSize="0" autoLine="0" r:id="rId14">
            <anchor moveWithCells="1">
              <from>
                <xdr:col>21</xdr:col>
                <xdr:colOff>9525</xdr:colOff>
                <xdr:row>23</xdr:row>
                <xdr:rowOff>9525</xdr:rowOff>
              </from>
              <to>
                <xdr:col>23</xdr:col>
                <xdr:colOff>0</xdr:colOff>
                <xdr:row>28</xdr:row>
                <xdr:rowOff>9525</xdr:rowOff>
              </to>
            </anchor>
          </controlPr>
        </control>
      </mc:Choice>
      <mc:Fallback>
        <control shapeId="1060" r:id="rId13" name="cmdRom"/>
      </mc:Fallback>
    </mc:AlternateContent>
    <mc:AlternateContent xmlns:mc="http://schemas.openxmlformats.org/markup-compatibility/2006">
      <mc:Choice Requires="x14">
        <control shapeId="1059" r:id="rId15" name="cmdShanghai">
          <controlPr defaultSize="0" autoLine="0" r:id="rId14">
            <anchor moveWithCells="1">
              <from>
                <xdr:col>21</xdr:col>
                <xdr:colOff>9525</xdr:colOff>
                <xdr:row>13</xdr:row>
                <xdr:rowOff>9525</xdr:rowOff>
              </from>
              <to>
                <xdr:col>23</xdr:col>
                <xdr:colOff>0</xdr:colOff>
                <xdr:row>18</xdr:row>
                <xdr:rowOff>9525</xdr:rowOff>
              </to>
            </anchor>
          </controlPr>
        </control>
      </mc:Choice>
      <mc:Fallback>
        <control shapeId="1059" r:id="rId15" name="cmdShanghai"/>
      </mc:Fallback>
    </mc:AlternateContent>
    <mc:AlternateContent xmlns:mc="http://schemas.openxmlformats.org/markup-compatibility/2006">
      <mc:Choice Requires="x14">
        <control shapeId="1058" r:id="rId16" name="cmdVancouver">
          <controlPr defaultSize="0" autoLine="0" r:id="rId14">
            <anchor moveWithCells="1">
              <from>
                <xdr:col>21</xdr:col>
                <xdr:colOff>9525</xdr:colOff>
                <xdr:row>8</xdr:row>
                <xdr:rowOff>9525</xdr:rowOff>
              </from>
              <to>
                <xdr:col>23</xdr:col>
                <xdr:colOff>0</xdr:colOff>
                <xdr:row>13</xdr:row>
                <xdr:rowOff>9525</xdr:rowOff>
              </to>
            </anchor>
          </controlPr>
        </control>
      </mc:Choice>
      <mc:Fallback>
        <control shapeId="1058" r:id="rId16" name="cmdVancouver"/>
      </mc:Fallback>
    </mc:AlternateContent>
    <mc:AlternateContent xmlns:mc="http://schemas.openxmlformats.org/markup-compatibility/2006">
      <mc:Choice Requires="x14">
        <control shapeId="1057" r:id="rId17" name="cmdMFlug">
          <controlPr defaultSize="0" autoLine="0" r:id="rId7">
            <anchor moveWithCells="1">
              <from>
                <xdr:col>21</xdr:col>
                <xdr:colOff>9525</xdr:colOff>
                <xdr:row>28</xdr:row>
                <xdr:rowOff>9525</xdr:rowOff>
              </from>
              <to>
                <xdr:col>23</xdr:col>
                <xdr:colOff>0</xdr:colOff>
                <xdr:row>33</xdr:row>
                <xdr:rowOff>9525</xdr:rowOff>
              </to>
            </anchor>
          </controlPr>
        </control>
      </mc:Choice>
      <mc:Fallback>
        <control shapeId="1057" r:id="rId17" name="cmdMFlug"/>
      </mc:Fallback>
    </mc:AlternateContent>
    <mc:AlternateContent xmlns:mc="http://schemas.openxmlformats.org/markup-compatibility/2006">
      <mc:Choice Requires="x14">
        <control shapeId="1056" r:id="rId18" name="cmdToronto">
          <controlPr defaultSize="0" autoLine="0" r:id="rId7">
            <anchor moveWithCells="1">
              <from>
                <xdr:col>21</xdr:col>
                <xdr:colOff>9525</xdr:colOff>
                <xdr:row>33</xdr:row>
                <xdr:rowOff>9525</xdr:rowOff>
              </from>
              <to>
                <xdr:col>23</xdr:col>
                <xdr:colOff>0</xdr:colOff>
                <xdr:row>38</xdr:row>
                <xdr:rowOff>9525</xdr:rowOff>
              </to>
            </anchor>
          </controlPr>
        </control>
      </mc:Choice>
      <mc:Fallback>
        <control shapeId="1056" r:id="rId18" name="cmdToronto"/>
      </mc:Fallback>
    </mc:AlternateContent>
    <mc:AlternateContent xmlns:mc="http://schemas.openxmlformats.org/markup-compatibility/2006">
      <mc:Choice Requires="x14">
        <control shapeId="1055" r:id="rId19" name="cmdKiew">
          <controlPr defaultSize="0" autoLine="0" r:id="rId7">
            <anchor moveWithCells="1">
              <from>
                <xdr:col>21</xdr:col>
                <xdr:colOff>9525</xdr:colOff>
                <xdr:row>38</xdr:row>
                <xdr:rowOff>9525</xdr:rowOff>
              </from>
              <to>
                <xdr:col>23</xdr:col>
                <xdr:colOff>0</xdr:colOff>
                <xdr:row>43</xdr:row>
                <xdr:rowOff>9525</xdr:rowOff>
              </to>
            </anchor>
          </controlPr>
        </control>
      </mc:Choice>
      <mc:Fallback>
        <control shapeId="1055" r:id="rId19" name="cmdKiew"/>
      </mc:Fallback>
    </mc:AlternateContent>
    <mc:AlternateContent xmlns:mc="http://schemas.openxmlformats.org/markup-compatibility/2006">
      <mc:Choice Requires="x14">
        <control shapeId="1054" r:id="rId20" name="cmdIstanbul">
          <controlPr defaultSize="0" autoLine="0" r:id="rId7">
            <anchor moveWithCells="1">
              <from>
                <xdr:col>21</xdr:col>
                <xdr:colOff>9525</xdr:colOff>
                <xdr:row>48</xdr:row>
                <xdr:rowOff>9525</xdr:rowOff>
              </from>
              <to>
                <xdr:col>23</xdr:col>
                <xdr:colOff>0</xdr:colOff>
                <xdr:row>53</xdr:row>
                <xdr:rowOff>9525</xdr:rowOff>
              </to>
            </anchor>
          </controlPr>
        </control>
      </mc:Choice>
      <mc:Fallback>
        <control shapeId="1054" r:id="rId20" name="cmdIstanbul"/>
      </mc:Fallback>
    </mc:AlternateContent>
    <mc:AlternateContent xmlns:mc="http://schemas.openxmlformats.org/markup-compatibility/2006">
      <mc:Choice Requires="x14">
        <control shapeId="1053" r:id="rId21" name="cmdSolarkraft">
          <controlPr defaultSize="0" autoLine="0" r:id="rId22">
            <anchor moveWithCells="1">
              <from>
                <xdr:col>21</xdr:col>
                <xdr:colOff>9525</xdr:colOff>
                <xdr:row>43</xdr:row>
                <xdr:rowOff>9525</xdr:rowOff>
              </from>
              <to>
                <xdr:col>23</xdr:col>
                <xdr:colOff>0</xdr:colOff>
                <xdr:row>48</xdr:row>
                <xdr:rowOff>9525</xdr:rowOff>
              </to>
            </anchor>
          </controlPr>
        </control>
      </mc:Choice>
      <mc:Fallback>
        <control shapeId="1053" r:id="rId21" name="cmdSolarkraft"/>
      </mc:Fallback>
    </mc:AlternateContent>
    <mc:AlternateContent xmlns:mc="http://schemas.openxmlformats.org/markup-compatibility/2006">
      <mc:Choice Requires="x14">
        <control shapeId="1048" r:id="rId23" name="cmdWindkraft">
          <controlPr defaultSize="0" autoLine="0" r:id="rId24">
            <anchor moveWithCells="1">
              <from>
                <xdr:col>58</xdr:col>
                <xdr:colOff>9525</xdr:colOff>
                <xdr:row>6</xdr:row>
                <xdr:rowOff>9525</xdr:rowOff>
              </from>
              <to>
                <xdr:col>63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48" r:id="rId23" name="cmdWindkraft"/>
      </mc:Fallback>
    </mc:AlternateContent>
    <mc:AlternateContent xmlns:mc="http://schemas.openxmlformats.org/markup-compatibility/2006">
      <mc:Choice Requires="x14">
        <control shapeId="1047" r:id="rId25" name="cmdMSchiff">
          <controlPr defaultSize="0" autoLine="0" r:id="rId26">
            <anchor moveWithCells="1">
              <from>
                <xdr:col>43</xdr:col>
                <xdr:colOff>9525</xdr:colOff>
                <xdr:row>6</xdr:row>
                <xdr:rowOff>9525</xdr:rowOff>
              </from>
              <to>
                <xdr:col>48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47" r:id="rId25" name="cmdMSchiff"/>
      </mc:Fallback>
    </mc:AlternateContent>
    <mc:AlternateContent xmlns:mc="http://schemas.openxmlformats.org/markup-compatibility/2006">
      <mc:Choice Requires="x14">
        <control shapeId="1046" r:id="rId27" name="cmdPeking">
          <controlPr defaultSize="0" autoLine="0" r:id="rId28">
            <anchor moveWithCells="1">
              <from>
                <xdr:col>48</xdr:col>
                <xdr:colOff>9525</xdr:colOff>
                <xdr:row>6</xdr:row>
                <xdr:rowOff>9525</xdr:rowOff>
              </from>
              <to>
                <xdr:col>53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46" r:id="rId27" name="cmdPeking"/>
      </mc:Fallback>
    </mc:AlternateContent>
    <mc:AlternateContent xmlns:mc="http://schemas.openxmlformats.org/markup-compatibility/2006">
      <mc:Choice Requires="x14">
        <control shapeId="1045" r:id="rId29" name="cmdHongKong">
          <controlPr defaultSize="0" autoLine="0" r:id="rId30">
            <anchor moveWithCells="1">
              <from>
                <xdr:col>53</xdr:col>
                <xdr:colOff>9525</xdr:colOff>
                <xdr:row>6</xdr:row>
                <xdr:rowOff>9525</xdr:rowOff>
              </from>
              <to>
                <xdr:col>58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45" r:id="rId29" name="cmdHongKong"/>
      </mc:Fallback>
    </mc:AlternateContent>
    <mc:AlternateContent xmlns:mc="http://schemas.openxmlformats.org/markup-compatibility/2006">
      <mc:Choice Requires="x14">
        <control shapeId="1044" r:id="rId31" name="cmdJerusalem">
          <controlPr defaultSize="0" autoLine="0" r:id="rId32">
            <anchor moveWithCells="1">
              <from>
                <xdr:col>63</xdr:col>
                <xdr:colOff>9525</xdr:colOff>
                <xdr:row>6</xdr:row>
                <xdr:rowOff>9525</xdr:rowOff>
              </from>
              <to>
                <xdr:col>68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44" r:id="rId31" name="cmdJerusalem"/>
      </mc:Fallback>
    </mc:AlternateContent>
    <mc:AlternateContent xmlns:mc="http://schemas.openxmlformats.org/markup-compatibility/2006">
      <mc:Choice Requires="x14">
        <control shapeId="1043" r:id="rId33" name="cmdNewYork">
          <controlPr defaultSize="0" autoLine="0" r:id="rId34">
            <anchor moveWithCells="1">
              <from>
                <xdr:col>33</xdr:col>
                <xdr:colOff>9525</xdr:colOff>
                <xdr:row>6</xdr:row>
                <xdr:rowOff>9525</xdr:rowOff>
              </from>
              <to>
                <xdr:col>38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43" r:id="rId33" name="cmdNewYork"/>
      </mc:Fallback>
    </mc:AlternateContent>
    <mc:AlternateContent xmlns:mc="http://schemas.openxmlformats.org/markup-compatibility/2006">
      <mc:Choice Requires="x14">
        <control shapeId="1042" r:id="rId35" name="cmdLondon">
          <controlPr defaultSize="0" autoLine="0" r:id="rId36">
            <anchor moveWithCells="1">
              <from>
                <xdr:col>38</xdr:col>
                <xdr:colOff>9525</xdr:colOff>
                <xdr:row>6</xdr:row>
                <xdr:rowOff>9525</xdr:rowOff>
              </from>
              <to>
                <xdr:col>43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42" r:id="rId35" name="cmdLondon"/>
      </mc:Fallback>
    </mc:AlternateContent>
    <mc:AlternateContent xmlns:mc="http://schemas.openxmlformats.org/markup-compatibility/2006">
      <mc:Choice Requires="x14">
        <control shapeId="1041" r:id="rId37" name="cmdSydney">
          <controlPr defaultSize="0" autoLine="0" r:id="rId38">
            <anchor moveWithCells="1">
              <from>
                <xdr:col>23</xdr:col>
                <xdr:colOff>9525</xdr:colOff>
                <xdr:row>6</xdr:row>
                <xdr:rowOff>9525</xdr:rowOff>
              </from>
              <to>
                <xdr:col>28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41" r:id="rId37" name="cmdSydney"/>
      </mc:Fallback>
    </mc:AlternateContent>
    <mc:AlternateContent xmlns:mc="http://schemas.openxmlformats.org/markup-compatibility/2006">
      <mc:Choice Requires="x14">
        <control shapeId="1040" r:id="rId39" name="cmdBarcelona">
          <controlPr defaultSize="0" autoLine="0" r:id="rId40">
            <anchor moveWithCells="1">
              <from>
                <xdr:col>28</xdr:col>
                <xdr:colOff>9525</xdr:colOff>
                <xdr:row>53</xdr:row>
                <xdr:rowOff>9525</xdr:rowOff>
              </from>
              <to>
                <xdr:col>33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1040" r:id="rId39" name="cmdBarcelona"/>
      </mc:Fallback>
    </mc:AlternateContent>
    <mc:AlternateContent xmlns:mc="http://schemas.openxmlformats.org/markup-compatibility/2006">
      <mc:Choice Requires="x14">
        <control shapeId="1039" r:id="rId41" name="cmdAthen">
          <controlPr defaultSize="0" autoLine="0" r:id="rId42">
            <anchor moveWithCells="1">
              <from>
                <xdr:col>23</xdr:col>
                <xdr:colOff>9525</xdr:colOff>
                <xdr:row>53</xdr:row>
                <xdr:rowOff>9525</xdr:rowOff>
              </from>
              <to>
                <xdr:col>28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1039" r:id="rId41" name="cmdAthen"/>
      </mc:Fallback>
    </mc:AlternateContent>
    <mc:AlternateContent xmlns:mc="http://schemas.openxmlformats.org/markup-compatibility/2006">
      <mc:Choice Requires="x14">
        <control shapeId="1038" r:id="rId43" name="cmdTokio">
          <controlPr defaultSize="0" autoLine="0" r:id="rId44">
            <anchor moveWithCells="1">
              <from>
                <xdr:col>38</xdr:col>
                <xdr:colOff>9525</xdr:colOff>
                <xdr:row>53</xdr:row>
                <xdr:rowOff>9525</xdr:rowOff>
              </from>
              <to>
                <xdr:col>43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1038" r:id="rId43" name="cmdTokio"/>
      </mc:Fallback>
    </mc:AlternateContent>
    <mc:AlternateContent xmlns:mc="http://schemas.openxmlformats.org/markup-compatibility/2006">
      <mc:Choice Requires="x14">
        <control shapeId="1037" r:id="rId45" name="cmdGdingen">
          <controlPr defaultSize="0" autoLine="0" r:id="rId46">
            <anchor moveWithCells="1">
              <from>
                <xdr:col>63</xdr:col>
                <xdr:colOff>9525</xdr:colOff>
                <xdr:row>53</xdr:row>
                <xdr:rowOff>9525</xdr:rowOff>
              </from>
              <to>
                <xdr:col>68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1037" r:id="rId45" name="cmdGdingen"/>
      </mc:Fallback>
    </mc:AlternateContent>
    <mc:AlternateContent xmlns:mc="http://schemas.openxmlformats.org/markup-compatibility/2006">
      <mc:Choice Requires="x14">
        <control shapeId="1036" r:id="rId47" name="cmdTaipeh">
          <controlPr defaultSize="0" autoLine="0" r:id="rId48">
            <anchor moveWithCells="1">
              <from>
                <xdr:col>53</xdr:col>
                <xdr:colOff>9525</xdr:colOff>
                <xdr:row>53</xdr:row>
                <xdr:rowOff>9525</xdr:rowOff>
              </from>
              <to>
                <xdr:col>58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1036" r:id="rId47" name="cmdTaipeh"/>
      </mc:Fallback>
    </mc:AlternateContent>
    <mc:AlternateContent xmlns:mc="http://schemas.openxmlformats.org/markup-compatibility/2006">
      <mc:Choice Requires="x14">
        <control shapeId="1035" r:id="rId49" name="cmdMBahn">
          <controlPr defaultSize="0" autoLine="0" r:id="rId26">
            <anchor moveWithCells="1">
              <from>
                <xdr:col>43</xdr:col>
                <xdr:colOff>9525</xdr:colOff>
                <xdr:row>53</xdr:row>
                <xdr:rowOff>9525</xdr:rowOff>
              </from>
              <to>
                <xdr:col>48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1035" r:id="rId49" name="cmdMBahn"/>
      </mc:Fallback>
    </mc:AlternateContent>
    <mc:AlternateContent xmlns:mc="http://schemas.openxmlformats.org/markup-compatibility/2006">
      <mc:Choice Requires="x14">
        <control shapeId="1028" r:id="rId50" name="cmdHypothek">
          <controlPr defaultSize="0" autoLine="0" r:id="rId51">
            <anchor moveWithCells="1">
              <from>
                <xdr:col>27</xdr:col>
                <xdr:colOff>38100</xdr:colOff>
                <xdr:row>31</xdr:row>
                <xdr:rowOff>28575</xdr:rowOff>
              </from>
              <to>
                <xdr:col>35</xdr:col>
                <xdr:colOff>66675</xdr:colOff>
                <xdr:row>33</xdr:row>
                <xdr:rowOff>57150</xdr:rowOff>
              </to>
            </anchor>
          </controlPr>
        </control>
      </mc:Choice>
      <mc:Fallback>
        <control shapeId="1028" r:id="rId50" name="cmdHypothek"/>
      </mc:Fallback>
    </mc:AlternateContent>
    <mc:AlternateContent xmlns:mc="http://schemas.openxmlformats.org/markup-compatibility/2006">
      <mc:Choice Requires="x14">
        <control shapeId="1026" r:id="rId52" name="cmdImmobilien">
          <controlPr defaultSize="0" autoLine="0" r:id="rId53">
            <anchor moveWithCells="1">
              <from>
                <xdr:col>27</xdr:col>
                <xdr:colOff>38100</xdr:colOff>
                <xdr:row>28</xdr:row>
                <xdr:rowOff>66675</xdr:rowOff>
              </from>
              <to>
                <xdr:col>35</xdr:col>
                <xdr:colOff>66675</xdr:colOff>
                <xdr:row>30</xdr:row>
                <xdr:rowOff>95250</xdr:rowOff>
              </to>
            </anchor>
          </controlPr>
        </control>
      </mc:Choice>
      <mc:Fallback>
        <control shapeId="1026" r:id="rId52" name="cmdImmobilien"/>
      </mc:Fallback>
    </mc:AlternateContent>
    <mc:AlternateContent xmlns:mc="http://schemas.openxmlformats.org/markup-compatibility/2006">
      <mc:Choice Requires="x14">
        <control shapeId="1027" r:id="rId54" name="cmdLoeschen">
          <controlPr defaultSize="0" autoLine="0" r:id="rId55">
            <anchor moveWithCells="1">
              <from>
                <xdr:col>27</xdr:col>
                <xdr:colOff>38100</xdr:colOff>
                <xdr:row>42</xdr:row>
                <xdr:rowOff>28575</xdr:rowOff>
              </from>
              <to>
                <xdr:col>35</xdr:col>
                <xdr:colOff>66675</xdr:colOff>
                <xdr:row>44</xdr:row>
                <xdr:rowOff>66675</xdr:rowOff>
              </to>
            </anchor>
          </controlPr>
        </control>
      </mc:Choice>
      <mc:Fallback>
        <control shapeId="1027" r:id="rId54" name="cmdLoeschen"/>
      </mc:Fallback>
    </mc:AlternateContent>
    <mc:AlternateContent xmlns:mc="http://schemas.openxmlformats.org/markup-compatibility/2006">
      <mc:Choice Requires="x14">
        <control shapeId="1029" r:id="rId56" name="cmdWuerfeln">
          <controlPr defaultSize="0" autoLine="0" r:id="rId57">
            <anchor moveWithCells="1">
              <from>
                <xdr:col>40</xdr:col>
                <xdr:colOff>66675</xdr:colOff>
                <xdr:row>14</xdr:row>
                <xdr:rowOff>19050</xdr:rowOff>
              </from>
              <to>
                <xdr:col>46</xdr:col>
                <xdr:colOff>66675</xdr:colOff>
                <xdr:row>17</xdr:row>
                <xdr:rowOff>104775</xdr:rowOff>
              </to>
            </anchor>
          </controlPr>
        </control>
      </mc:Choice>
      <mc:Fallback>
        <control shapeId="1029" r:id="rId56" name="cmdWuerfeln"/>
      </mc:Fallback>
    </mc:AlternateContent>
    <mc:AlternateContent xmlns:mc="http://schemas.openxmlformats.org/markup-compatibility/2006">
      <mc:Choice Requires="x14">
        <control shapeId="1032" r:id="rId58" name="cmdTausch">
          <controlPr defaultSize="0" autoLine="0" r:id="rId59">
            <anchor moveWithCells="1">
              <from>
                <xdr:col>27</xdr:col>
                <xdr:colOff>38100</xdr:colOff>
                <xdr:row>33</xdr:row>
                <xdr:rowOff>104775</xdr:rowOff>
              </from>
              <to>
                <xdr:col>35</xdr:col>
                <xdr:colOff>66675</xdr:colOff>
                <xdr:row>36</xdr:row>
                <xdr:rowOff>19050</xdr:rowOff>
              </to>
            </anchor>
          </controlPr>
        </control>
      </mc:Choice>
      <mc:Fallback>
        <control shapeId="1032" r:id="rId58" name="cmdTausch"/>
      </mc:Fallback>
    </mc:AlternateContent>
    <mc:AlternateContent xmlns:mc="http://schemas.openxmlformats.org/markup-compatibility/2006">
      <mc:Choice Requires="x14">
        <control shapeId="1070" r:id="rId60" name="cmdVermoegen">
          <controlPr defaultSize="0" autoLine="0" r:id="rId61">
            <anchor moveWithCells="1">
              <from>
                <xdr:col>27</xdr:col>
                <xdr:colOff>38100</xdr:colOff>
                <xdr:row>36</xdr:row>
                <xdr:rowOff>66675</xdr:rowOff>
              </from>
              <to>
                <xdr:col>35</xdr:col>
                <xdr:colOff>66675</xdr:colOff>
                <xdr:row>38</xdr:row>
                <xdr:rowOff>95250</xdr:rowOff>
              </to>
            </anchor>
          </controlPr>
        </control>
      </mc:Choice>
      <mc:Fallback>
        <control shapeId="1070" r:id="rId60" name="cmdVermoegen"/>
      </mc:Fallback>
    </mc:AlternateContent>
    <mc:AlternateContent xmlns:mc="http://schemas.openxmlformats.org/markup-compatibility/2006">
      <mc:Choice Requires="x14">
        <control shapeId="1071" r:id="rId62" name="cmdGrafik">
          <controlPr defaultSize="0" autoLine="0" r:id="rId63">
            <anchor moveWithCells="1">
              <from>
                <xdr:col>27</xdr:col>
                <xdr:colOff>38100</xdr:colOff>
                <xdr:row>39</xdr:row>
                <xdr:rowOff>47625</xdr:rowOff>
              </from>
              <to>
                <xdr:col>35</xdr:col>
                <xdr:colOff>66675</xdr:colOff>
                <xdr:row>41</xdr:row>
                <xdr:rowOff>76200</xdr:rowOff>
              </to>
            </anchor>
          </controlPr>
        </control>
      </mc:Choice>
      <mc:Fallback>
        <control shapeId="1071" r:id="rId62" name="cmdGrafik"/>
      </mc:Fallback>
    </mc:AlternateContent>
    <mc:AlternateContent xmlns:mc="http://schemas.openxmlformats.org/markup-compatibility/2006">
      <mc:Choice Requires="x14">
        <control shapeId="1034" r:id="rId64" name="Group Box 10">
          <controlPr defaultSize="0" autoFill="0" autoPict="0">
            <anchor moveWithCells="1">
              <from>
                <xdr:col>26</xdr:col>
                <xdr:colOff>57150</xdr:colOff>
                <xdr:row>27</xdr:row>
                <xdr:rowOff>38100</xdr:rowOff>
              </from>
              <to>
                <xdr:col>36</xdr:col>
                <xdr:colOff>38100</xdr:colOff>
                <xdr:row>45</xdr:row>
                <xdr:rowOff>28575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M2001"/>
  <sheetViews>
    <sheetView workbookViewId="0">
      <selection activeCell="M20" sqref="M20"/>
    </sheetView>
  </sheetViews>
  <sheetFormatPr baseColWidth="10" defaultColWidth="10.5703125" defaultRowHeight="12.75" x14ac:dyDescent="0.2"/>
  <cols>
    <col min="1" max="1" width="10.5703125" style="1" customWidth="1"/>
    <col min="2" max="2" width="11.7109375" style="90" bestFit="1" customWidth="1"/>
    <col min="3" max="3" width="11.7109375" style="90" customWidth="1"/>
    <col min="4" max="4" width="12.140625" style="90" customWidth="1"/>
    <col min="5" max="5" width="12.28515625" style="90" customWidth="1"/>
    <col min="6" max="16384" width="10.5703125" style="1"/>
  </cols>
  <sheetData>
    <row r="1" spans="1:13" ht="7.5" customHeight="1" thickBot="1" x14ac:dyDescent="0.25">
      <c r="B1" s="1"/>
      <c r="C1" s="1"/>
      <c r="D1" s="1"/>
      <c r="E1" s="1"/>
    </row>
    <row r="2" spans="1:13" ht="13.5" thickBot="1" x14ac:dyDescent="0.25">
      <c r="A2" s="30" t="s">
        <v>86</v>
      </c>
      <c r="B2" s="1"/>
      <c r="C2" s="31">
        <v>10</v>
      </c>
      <c r="D2" s="3"/>
      <c r="E2" s="1" t="s">
        <v>87</v>
      </c>
      <c r="G2" s="32">
        <v>0</v>
      </c>
      <c r="I2" s="1" t="s">
        <v>102</v>
      </c>
    </row>
    <row r="3" spans="1:13" x14ac:dyDescent="0.2">
      <c r="B3" s="1"/>
      <c r="C3" s="1"/>
      <c r="D3" s="1"/>
      <c r="E3" s="1"/>
      <c r="I3" s="1">
        <v>10</v>
      </c>
    </row>
    <row r="4" spans="1:13" x14ac:dyDescent="0.2">
      <c r="B4" s="475" t="s">
        <v>84</v>
      </c>
      <c r="C4" s="475"/>
      <c r="D4" s="33"/>
      <c r="E4" s="1"/>
      <c r="I4" s="1">
        <v>10</v>
      </c>
    </row>
    <row r="5" spans="1:13" x14ac:dyDescent="0.2">
      <c r="B5" s="33" t="str">
        <f>NameSpieler1</f>
        <v>Name Spieler 1</v>
      </c>
      <c r="C5" s="33" t="str">
        <f>NameSpieler2</f>
        <v>Name Spieler 2</v>
      </c>
      <c r="D5" s="33" t="str">
        <f>B5</f>
        <v>Name Spieler 1</v>
      </c>
      <c r="E5" s="88" t="str">
        <f>C5</f>
        <v>Name Spieler 2</v>
      </c>
      <c r="I5" s="1">
        <v>10</v>
      </c>
    </row>
    <row r="6" spans="1:13" x14ac:dyDescent="0.2">
      <c r="A6" s="1">
        <v>0</v>
      </c>
      <c r="B6" s="89">
        <v>15000</v>
      </c>
      <c r="C6" s="89">
        <v>15000</v>
      </c>
      <c r="D6" s="89">
        <v>15000</v>
      </c>
      <c r="E6" s="91">
        <v>15000</v>
      </c>
      <c r="I6" s="1">
        <v>10</v>
      </c>
    </row>
    <row r="7" spans="1:13" x14ac:dyDescent="0.2">
      <c r="A7" s="1" t="str">
        <f t="shared" ref="A7:A72" si="0">IF($B7&lt;&gt;"",$A6+10,"")</f>
        <v/>
      </c>
      <c r="I7" s="1">
        <v>10</v>
      </c>
    </row>
    <row r="8" spans="1:13" x14ac:dyDescent="0.2">
      <c r="A8" s="1" t="str">
        <f t="shared" si="0"/>
        <v/>
      </c>
      <c r="I8" s="1">
        <v>10</v>
      </c>
    </row>
    <row r="9" spans="1:13" x14ac:dyDescent="0.2">
      <c r="A9" s="1" t="str">
        <f t="shared" si="0"/>
        <v/>
      </c>
      <c r="I9" s="1">
        <v>10</v>
      </c>
    </row>
    <row r="10" spans="1:13" x14ac:dyDescent="0.2">
      <c r="A10" s="1" t="str">
        <f t="shared" si="0"/>
        <v/>
      </c>
      <c r="I10" s="1">
        <v>10</v>
      </c>
    </row>
    <row r="11" spans="1:13" x14ac:dyDescent="0.2">
      <c r="A11" s="1" t="str">
        <f t="shared" si="0"/>
        <v/>
      </c>
      <c r="I11" s="1">
        <v>10</v>
      </c>
    </row>
    <row r="12" spans="1:13" x14ac:dyDescent="0.2">
      <c r="A12" s="1" t="str">
        <f t="shared" si="0"/>
        <v/>
      </c>
      <c r="I12" s="1">
        <v>10</v>
      </c>
    </row>
    <row r="13" spans="1:13" x14ac:dyDescent="0.2">
      <c r="A13" s="1" t="str">
        <f t="shared" si="0"/>
        <v/>
      </c>
      <c r="I13" s="1">
        <v>100</v>
      </c>
    </row>
    <row r="14" spans="1:13" x14ac:dyDescent="0.2">
      <c r="A14" s="1" t="str">
        <f t="shared" si="0"/>
        <v/>
      </c>
    </row>
    <row r="15" spans="1:13" x14ac:dyDescent="0.2">
      <c r="A15" s="1" t="str">
        <f t="shared" si="0"/>
        <v/>
      </c>
      <c r="I15" s="476" t="s">
        <v>59</v>
      </c>
      <c r="J15" s="476"/>
      <c r="L15" s="477" t="s">
        <v>60</v>
      </c>
      <c r="M15" s="477"/>
    </row>
    <row r="16" spans="1:13" x14ac:dyDescent="0.2">
      <c r="A16" s="1" t="str">
        <f t="shared" si="0"/>
        <v/>
      </c>
      <c r="I16" s="92" t="s">
        <v>103</v>
      </c>
      <c r="J16" s="92">
        <f>50000/50000</f>
        <v>1</v>
      </c>
      <c r="L16" s="92" t="s">
        <v>103</v>
      </c>
      <c r="M16" s="92">
        <f>100000/100000</f>
        <v>1</v>
      </c>
    </row>
    <row r="17" spans="1:13" x14ac:dyDescent="0.2">
      <c r="A17" s="1" t="str">
        <f t="shared" si="0"/>
        <v/>
      </c>
      <c r="I17" s="92" t="s">
        <v>104</v>
      </c>
      <c r="J17" s="94">
        <f>IF(Barvermögen_S1&gt;=100000,100000,IF(Barvermögen_S1&lt;0,0,Barvermögen_S1))/100000</f>
        <v>0.15</v>
      </c>
      <c r="L17" s="92" t="s">
        <v>104</v>
      </c>
      <c r="M17" s="94">
        <f>IF(Barvermögen_S2&gt;=100000,100000,IF(Barvermögen_S2&lt;0,0,Barvermögen_S2))/100000</f>
        <v>0.15</v>
      </c>
    </row>
    <row r="18" spans="1:13" x14ac:dyDescent="0.2">
      <c r="A18" s="1" t="str">
        <f t="shared" si="0"/>
        <v/>
      </c>
      <c r="I18" s="92" t="s">
        <v>105</v>
      </c>
      <c r="J18" s="94">
        <f>(J16-J17)*PI()</f>
        <v>2.6703537555513241</v>
      </c>
      <c r="L18" s="92" t="s">
        <v>105</v>
      </c>
      <c r="M18" s="94">
        <f>(M16-M17)*PI()</f>
        <v>2.6703537555513241</v>
      </c>
    </row>
    <row r="19" spans="1:13" x14ac:dyDescent="0.2">
      <c r="A19" s="1" t="str">
        <f t="shared" si="0"/>
        <v/>
      </c>
      <c r="I19" s="92" t="s">
        <v>106</v>
      </c>
      <c r="J19" s="92">
        <v>0.8</v>
      </c>
      <c r="L19" s="92" t="s">
        <v>106</v>
      </c>
      <c r="M19" s="92">
        <v>0.8</v>
      </c>
    </row>
    <row r="20" spans="1:13" x14ac:dyDescent="0.2">
      <c r="A20" s="1" t="str">
        <f t="shared" si="0"/>
        <v/>
      </c>
    </row>
    <row r="21" spans="1:13" x14ac:dyDescent="0.2">
      <c r="A21" s="1" t="str">
        <f t="shared" si="0"/>
        <v/>
      </c>
      <c r="I21" s="93" t="s">
        <v>107</v>
      </c>
      <c r="J21" s="93" t="s">
        <v>108</v>
      </c>
      <c r="L21" s="93" t="s">
        <v>107</v>
      </c>
      <c r="M21" s="93" t="s">
        <v>108</v>
      </c>
    </row>
    <row r="22" spans="1:13" x14ac:dyDescent="0.2">
      <c r="A22" s="1" t="str">
        <f t="shared" si="0"/>
        <v/>
      </c>
      <c r="I22" s="95">
        <v>0</v>
      </c>
      <c r="J22" s="95">
        <v>0</v>
      </c>
      <c r="L22" s="95">
        <v>0</v>
      </c>
      <c r="M22" s="95">
        <v>0</v>
      </c>
    </row>
    <row r="23" spans="1:13" x14ac:dyDescent="0.2">
      <c r="A23" s="1" t="str">
        <f t="shared" si="0"/>
        <v/>
      </c>
      <c r="I23" s="95">
        <f>J19*COS(J18)</f>
        <v>-0.7128052193506943</v>
      </c>
      <c r="J23" s="95">
        <f>J19*SIN(J18)</f>
        <v>0.36319239979163753</v>
      </c>
      <c r="L23" s="95">
        <f>M19*COS(M18)</f>
        <v>-0.7128052193506943</v>
      </c>
      <c r="M23" s="95">
        <f>M19*SIN(M18)</f>
        <v>0.36319239979163753</v>
      </c>
    </row>
    <row r="24" spans="1:13" x14ac:dyDescent="0.2">
      <c r="A24" s="1" t="str">
        <f t="shared" si="0"/>
        <v/>
      </c>
    </row>
    <row r="25" spans="1:13" x14ac:dyDescent="0.2">
      <c r="A25" s="1" t="str">
        <f t="shared" si="0"/>
        <v/>
      </c>
    </row>
    <row r="26" spans="1:13" x14ac:dyDescent="0.2">
      <c r="A26" s="1" t="str">
        <f t="shared" si="0"/>
        <v/>
      </c>
    </row>
    <row r="27" spans="1:13" x14ac:dyDescent="0.2">
      <c r="A27" s="1" t="str">
        <f t="shared" si="0"/>
        <v/>
      </c>
    </row>
    <row r="28" spans="1:13" x14ac:dyDescent="0.2">
      <c r="A28" s="1" t="str">
        <f t="shared" si="0"/>
        <v/>
      </c>
    </row>
    <row r="29" spans="1:13" x14ac:dyDescent="0.2">
      <c r="A29" s="1" t="str">
        <f t="shared" si="0"/>
        <v/>
      </c>
    </row>
    <row r="30" spans="1:13" x14ac:dyDescent="0.2">
      <c r="A30" s="1" t="str">
        <f t="shared" si="0"/>
        <v/>
      </c>
    </row>
    <row r="31" spans="1:13" x14ac:dyDescent="0.2">
      <c r="A31" s="1" t="str">
        <f t="shared" si="0"/>
        <v/>
      </c>
    </row>
    <row r="32" spans="1:13" x14ac:dyDescent="0.2">
      <c r="A32" s="1" t="str">
        <f t="shared" si="0"/>
        <v/>
      </c>
    </row>
    <row r="33" spans="1:1" x14ac:dyDescent="0.2">
      <c r="A33" s="1" t="str">
        <f t="shared" si="0"/>
        <v/>
      </c>
    </row>
    <row r="34" spans="1:1" x14ac:dyDescent="0.2">
      <c r="A34" s="1" t="str">
        <f t="shared" si="0"/>
        <v/>
      </c>
    </row>
    <row r="35" spans="1:1" x14ac:dyDescent="0.2">
      <c r="A35" s="1" t="str">
        <f t="shared" si="0"/>
        <v/>
      </c>
    </row>
    <row r="36" spans="1:1" x14ac:dyDescent="0.2">
      <c r="A36" s="1" t="str">
        <f t="shared" si="0"/>
        <v/>
      </c>
    </row>
    <row r="37" spans="1:1" x14ac:dyDescent="0.2">
      <c r="A37" s="1" t="str">
        <f t="shared" si="0"/>
        <v/>
      </c>
    </row>
    <row r="38" spans="1:1" x14ac:dyDescent="0.2">
      <c r="A38" s="1" t="str">
        <f t="shared" si="0"/>
        <v/>
      </c>
    </row>
    <row r="39" spans="1:1" x14ac:dyDescent="0.2">
      <c r="A39" s="1" t="str">
        <f t="shared" si="0"/>
        <v/>
      </c>
    </row>
    <row r="40" spans="1:1" x14ac:dyDescent="0.2">
      <c r="A40" s="1" t="str">
        <f t="shared" si="0"/>
        <v/>
      </c>
    </row>
    <row r="41" spans="1:1" x14ac:dyDescent="0.2">
      <c r="A41" s="1" t="str">
        <f t="shared" si="0"/>
        <v/>
      </c>
    </row>
    <row r="42" spans="1:1" x14ac:dyDescent="0.2">
      <c r="A42" s="1" t="str">
        <f t="shared" si="0"/>
        <v/>
      </c>
    </row>
    <row r="43" spans="1:1" x14ac:dyDescent="0.2">
      <c r="A43" s="1" t="str">
        <f t="shared" si="0"/>
        <v/>
      </c>
    </row>
    <row r="44" spans="1:1" x14ac:dyDescent="0.2">
      <c r="A44" s="1" t="str">
        <f t="shared" si="0"/>
        <v/>
      </c>
    </row>
    <row r="45" spans="1:1" x14ac:dyDescent="0.2">
      <c r="A45" s="1" t="str">
        <f t="shared" si="0"/>
        <v/>
      </c>
    </row>
    <row r="46" spans="1:1" x14ac:dyDescent="0.2">
      <c r="A46" s="1" t="str">
        <f t="shared" si="0"/>
        <v/>
      </c>
    </row>
    <row r="47" spans="1:1" x14ac:dyDescent="0.2">
      <c r="A47" s="1" t="str">
        <f t="shared" si="0"/>
        <v/>
      </c>
    </row>
    <row r="48" spans="1:1" x14ac:dyDescent="0.2">
      <c r="A48" s="1" t="str">
        <f t="shared" si="0"/>
        <v/>
      </c>
    </row>
    <row r="49" spans="1:1" x14ac:dyDescent="0.2">
      <c r="A49" s="1" t="str">
        <f t="shared" si="0"/>
        <v/>
      </c>
    </row>
    <row r="50" spans="1:1" x14ac:dyDescent="0.2">
      <c r="A50" s="1" t="str">
        <f t="shared" si="0"/>
        <v/>
      </c>
    </row>
    <row r="51" spans="1:1" x14ac:dyDescent="0.2">
      <c r="A51" s="1" t="str">
        <f t="shared" si="0"/>
        <v/>
      </c>
    </row>
    <row r="52" spans="1:1" x14ac:dyDescent="0.2">
      <c r="A52" s="1" t="str">
        <f t="shared" si="0"/>
        <v/>
      </c>
    </row>
    <row r="53" spans="1:1" x14ac:dyDescent="0.2">
      <c r="A53" s="1" t="str">
        <f t="shared" si="0"/>
        <v/>
      </c>
    </row>
    <row r="54" spans="1:1" x14ac:dyDescent="0.2">
      <c r="A54" s="1" t="str">
        <f t="shared" si="0"/>
        <v/>
      </c>
    </row>
    <row r="55" spans="1:1" x14ac:dyDescent="0.2">
      <c r="A55" s="1" t="str">
        <f t="shared" si="0"/>
        <v/>
      </c>
    </row>
    <row r="56" spans="1:1" x14ac:dyDescent="0.2">
      <c r="A56" s="1" t="str">
        <f t="shared" si="0"/>
        <v/>
      </c>
    </row>
    <row r="57" spans="1:1" x14ac:dyDescent="0.2">
      <c r="A57" s="1" t="str">
        <f t="shared" si="0"/>
        <v/>
      </c>
    </row>
    <row r="58" spans="1:1" x14ac:dyDescent="0.2">
      <c r="A58" s="1" t="str">
        <f t="shared" si="0"/>
        <v/>
      </c>
    </row>
    <row r="59" spans="1:1" x14ac:dyDescent="0.2">
      <c r="A59" s="1" t="str">
        <f t="shared" si="0"/>
        <v/>
      </c>
    </row>
    <row r="60" spans="1:1" x14ac:dyDescent="0.2">
      <c r="A60" s="1" t="str">
        <f t="shared" si="0"/>
        <v/>
      </c>
    </row>
    <row r="61" spans="1:1" x14ac:dyDescent="0.2">
      <c r="A61" s="1" t="str">
        <f t="shared" si="0"/>
        <v/>
      </c>
    </row>
    <row r="62" spans="1:1" x14ac:dyDescent="0.2">
      <c r="A62" s="1" t="str">
        <f t="shared" si="0"/>
        <v/>
      </c>
    </row>
    <row r="63" spans="1:1" x14ac:dyDescent="0.2">
      <c r="A63" s="1" t="str">
        <f t="shared" si="0"/>
        <v/>
      </c>
    </row>
    <row r="64" spans="1:1" x14ac:dyDescent="0.2">
      <c r="A64" s="1" t="str">
        <f t="shared" si="0"/>
        <v/>
      </c>
    </row>
    <row r="65" spans="1:1" x14ac:dyDescent="0.2">
      <c r="A65" s="1" t="str">
        <f t="shared" si="0"/>
        <v/>
      </c>
    </row>
    <row r="66" spans="1:1" x14ac:dyDescent="0.2">
      <c r="A66" s="1" t="str">
        <f t="shared" si="0"/>
        <v/>
      </c>
    </row>
    <row r="67" spans="1:1" x14ac:dyDescent="0.2">
      <c r="A67" s="1" t="str">
        <f t="shared" si="0"/>
        <v/>
      </c>
    </row>
    <row r="68" spans="1:1" x14ac:dyDescent="0.2">
      <c r="A68" s="1" t="str">
        <f t="shared" si="0"/>
        <v/>
      </c>
    </row>
    <row r="69" spans="1:1" x14ac:dyDescent="0.2">
      <c r="A69" s="1" t="str">
        <f t="shared" si="0"/>
        <v/>
      </c>
    </row>
    <row r="70" spans="1:1" x14ac:dyDescent="0.2">
      <c r="A70" s="1" t="str">
        <f t="shared" si="0"/>
        <v/>
      </c>
    </row>
    <row r="71" spans="1:1" x14ac:dyDescent="0.2">
      <c r="A71" s="1" t="str">
        <f t="shared" si="0"/>
        <v/>
      </c>
    </row>
    <row r="72" spans="1:1" x14ac:dyDescent="0.2">
      <c r="A72" s="1" t="str">
        <f t="shared" si="0"/>
        <v/>
      </c>
    </row>
    <row r="73" spans="1:1" x14ac:dyDescent="0.2">
      <c r="A73" s="1" t="str">
        <f t="shared" ref="A73:A136" si="1">IF($B73&lt;&gt;"",$A72+10,"")</f>
        <v/>
      </c>
    </row>
    <row r="74" spans="1:1" x14ac:dyDescent="0.2">
      <c r="A74" s="1" t="str">
        <f t="shared" si="1"/>
        <v/>
      </c>
    </row>
    <row r="75" spans="1:1" x14ac:dyDescent="0.2">
      <c r="A75" s="1" t="str">
        <f t="shared" si="1"/>
        <v/>
      </c>
    </row>
    <row r="76" spans="1:1" x14ac:dyDescent="0.2">
      <c r="A76" s="1" t="str">
        <f t="shared" si="1"/>
        <v/>
      </c>
    </row>
    <row r="77" spans="1:1" x14ac:dyDescent="0.2">
      <c r="A77" s="1" t="str">
        <f t="shared" si="1"/>
        <v/>
      </c>
    </row>
    <row r="78" spans="1:1" x14ac:dyDescent="0.2">
      <c r="A78" s="1" t="str">
        <f t="shared" si="1"/>
        <v/>
      </c>
    </row>
    <row r="79" spans="1:1" x14ac:dyDescent="0.2">
      <c r="A79" s="1" t="str">
        <f t="shared" si="1"/>
        <v/>
      </c>
    </row>
    <row r="80" spans="1:1" x14ac:dyDescent="0.2">
      <c r="A80" s="1" t="str">
        <f t="shared" si="1"/>
        <v/>
      </c>
    </row>
    <row r="81" spans="1:1" x14ac:dyDescent="0.2">
      <c r="A81" s="1" t="str">
        <f t="shared" si="1"/>
        <v/>
      </c>
    </row>
    <row r="82" spans="1:1" x14ac:dyDescent="0.2">
      <c r="A82" s="1" t="str">
        <f t="shared" si="1"/>
        <v/>
      </c>
    </row>
    <row r="83" spans="1:1" x14ac:dyDescent="0.2">
      <c r="A83" s="1" t="str">
        <f t="shared" si="1"/>
        <v/>
      </c>
    </row>
    <row r="84" spans="1:1" x14ac:dyDescent="0.2">
      <c r="A84" s="1" t="str">
        <f t="shared" si="1"/>
        <v/>
      </c>
    </row>
    <row r="85" spans="1:1" x14ac:dyDescent="0.2">
      <c r="A85" s="1" t="str">
        <f t="shared" si="1"/>
        <v/>
      </c>
    </row>
    <row r="86" spans="1:1" x14ac:dyDescent="0.2">
      <c r="A86" s="1" t="str">
        <f t="shared" si="1"/>
        <v/>
      </c>
    </row>
    <row r="87" spans="1:1" x14ac:dyDescent="0.2">
      <c r="A87" s="1" t="str">
        <f t="shared" si="1"/>
        <v/>
      </c>
    </row>
    <row r="88" spans="1:1" x14ac:dyDescent="0.2">
      <c r="A88" s="1" t="str">
        <f t="shared" si="1"/>
        <v/>
      </c>
    </row>
    <row r="89" spans="1:1" x14ac:dyDescent="0.2">
      <c r="A89" s="1" t="str">
        <f t="shared" si="1"/>
        <v/>
      </c>
    </row>
    <row r="90" spans="1:1" x14ac:dyDescent="0.2">
      <c r="A90" s="1" t="str">
        <f t="shared" si="1"/>
        <v/>
      </c>
    </row>
    <row r="91" spans="1:1" x14ac:dyDescent="0.2">
      <c r="A91" s="1" t="str">
        <f t="shared" si="1"/>
        <v/>
      </c>
    </row>
    <row r="92" spans="1:1" x14ac:dyDescent="0.2">
      <c r="A92" s="1" t="str">
        <f t="shared" si="1"/>
        <v/>
      </c>
    </row>
    <row r="93" spans="1:1" x14ac:dyDescent="0.2">
      <c r="A93" s="1" t="str">
        <f t="shared" si="1"/>
        <v/>
      </c>
    </row>
    <row r="94" spans="1:1" x14ac:dyDescent="0.2">
      <c r="A94" s="1" t="str">
        <f t="shared" si="1"/>
        <v/>
      </c>
    </row>
    <row r="95" spans="1:1" x14ac:dyDescent="0.2">
      <c r="A95" s="1" t="str">
        <f t="shared" si="1"/>
        <v/>
      </c>
    </row>
    <row r="96" spans="1:1" x14ac:dyDescent="0.2">
      <c r="A96" s="1" t="str">
        <f t="shared" si="1"/>
        <v/>
      </c>
    </row>
    <row r="97" spans="1:1" x14ac:dyDescent="0.2">
      <c r="A97" s="1" t="str">
        <f t="shared" si="1"/>
        <v/>
      </c>
    </row>
    <row r="98" spans="1:1" x14ac:dyDescent="0.2">
      <c r="A98" s="1" t="str">
        <f t="shared" si="1"/>
        <v/>
      </c>
    </row>
    <row r="99" spans="1:1" x14ac:dyDescent="0.2">
      <c r="A99" s="1" t="str">
        <f t="shared" si="1"/>
        <v/>
      </c>
    </row>
    <row r="100" spans="1:1" x14ac:dyDescent="0.2">
      <c r="A100" s="1" t="str">
        <f t="shared" si="1"/>
        <v/>
      </c>
    </row>
    <row r="101" spans="1:1" x14ac:dyDescent="0.2">
      <c r="A101" s="1" t="str">
        <f t="shared" si="1"/>
        <v/>
      </c>
    </row>
    <row r="102" spans="1:1" x14ac:dyDescent="0.2">
      <c r="A102" s="1" t="str">
        <f t="shared" si="1"/>
        <v/>
      </c>
    </row>
    <row r="103" spans="1:1" x14ac:dyDescent="0.2">
      <c r="A103" s="1" t="str">
        <f t="shared" si="1"/>
        <v/>
      </c>
    </row>
    <row r="104" spans="1:1" x14ac:dyDescent="0.2">
      <c r="A104" s="1" t="str">
        <f t="shared" si="1"/>
        <v/>
      </c>
    </row>
    <row r="105" spans="1:1" x14ac:dyDescent="0.2">
      <c r="A105" s="1" t="str">
        <f t="shared" si="1"/>
        <v/>
      </c>
    </row>
    <row r="106" spans="1:1" x14ac:dyDescent="0.2">
      <c r="A106" s="1" t="str">
        <f t="shared" si="1"/>
        <v/>
      </c>
    </row>
    <row r="107" spans="1:1" x14ac:dyDescent="0.2">
      <c r="A107" s="1" t="str">
        <f t="shared" si="1"/>
        <v/>
      </c>
    </row>
    <row r="108" spans="1:1" x14ac:dyDescent="0.2">
      <c r="A108" s="1" t="str">
        <f t="shared" si="1"/>
        <v/>
      </c>
    </row>
    <row r="109" spans="1:1" x14ac:dyDescent="0.2">
      <c r="A109" s="1" t="str">
        <f t="shared" si="1"/>
        <v/>
      </c>
    </row>
    <row r="110" spans="1:1" x14ac:dyDescent="0.2">
      <c r="A110" s="1" t="str">
        <f t="shared" si="1"/>
        <v/>
      </c>
    </row>
    <row r="111" spans="1:1" x14ac:dyDescent="0.2">
      <c r="A111" s="1" t="str">
        <f t="shared" si="1"/>
        <v/>
      </c>
    </row>
    <row r="112" spans="1:1" x14ac:dyDescent="0.2">
      <c r="A112" s="1" t="str">
        <f t="shared" si="1"/>
        <v/>
      </c>
    </row>
    <row r="113" spans="1:1" x14ac:dyDescent="0.2">
      <c r="A113" s="1" t="str">
        <f t="shared" si="1"/>
        <v/>
      </c>
    </row>
    <row r="114" spans="1:1" x14ac:dyDescent="0.2">
      <c r="A114" s="1" t="str">
        <f t="shared" si="1"/>
        <v/>
      </c>
    </row>
    <row r="115" spans="1:1" x14ac:dyDescent="0.2">
      <c r="A115" s="1" t="str">
        <f t="shared" si="1"/>
        <v/>
      </c>
    </row>
    <row r="116" spans="1:1" x14ac:dyDescent="0.2">
      <c r="A116" s="1" t="str">
        <f t="shared" si="1"/>
        <v/>
      </c>
    </row>
    <row r="117" spans="1:1" x14ac:dyDescent="0.2">
      <c r="A117" s="1" t="str">
        <f t="shared" si="1"/>
        <v/>
      </c>
    </row>
    <row r="118" spans="1:1" x14ac:dyDescent="0.2">
      <c r="A118" s="1" t="str">
        <f t="shared" si="1"/>
        <v/>
      </c>
    </row>
    <row r="119" spans="1:1" x14ac:dyDescent="0.2">
      <c r="A119" s="1" t="str">
        <f t="shared" si="1"/>
        <v/>
      </c>
    </row>
    <row r="120" spans="1:1" x14ac:dyDescent="0.2">
      <c r="A120" s="1" t="str">
        <f t="shared" si="1"/>
        <v/>
      </c>
    </row>
    <row r="121" spans="1:1" x14ac:dyDescent="0.2">
      <c r="A121" s="1" t="str">
        <f t="shared" si="1"/>
        <v/>
      </c>
    </row>
    <row r="122" spans="1:1" x14ac:dyDescent="0.2">
      <c r="A122" s="1" t="str">
        <f t="shared" si="1"/>
        <v/>
      </c>
    </row>
    <row r="123" spans="1:1" x14ac:dyDescent="0.2">
      <c r="A123" s="1" t="str">
        <f t="shared" si="1"/>
        <v/>
      </c>
    </row>
    <row r="124" spans="1:1" x14ac:dyDescent="0.2">
      <c r="A124" s="1" t="str">
        <f t="shared" si="1"/>
        <v/>
      </c>
    </row>
    <row r="125" spans="1:1" x14ac:dyDescent="0.2">
      <c r="A125" s="1" t="str">
        <f t="shared" si="1"/>
        <v/>
      </c>
    </row>
    <row r="126" spans="1:1" x14ac:dyDescent="0.2">
      <c r="A126" s="1" t="str">
        <f t="shared" si="1"/>
        <v/>
      </c>
    </row>
    <row r="127" spans="1:1" x14ac:dyDescent="0.2">
      <c r="A127" s="1" t="str">
        <f t="shared" si="1"/>
        <v/>
      </c>
    </row>
    <row r="128" spans="1:1" x14ac:dyDescent="0.2">
      <c r="A128" s="1" t="str">
        <f t="shared" si="1"/>
        <v/>
      </c>
    </row>
    <row r="129" spans="1:1" x14ac:dyDescent="0.2">
      <c r="A129" s="1" t="str">
        <f t="shared" si="1"/>
        <v/>
      </c>
    </row>
    <row r="130" spans="1:1" x14ac:dyDescent="0.2">
      <c r="A130" s="1" t="str">
        <f t="shared" si="1"/>
        <v/>
      </c>
    </row>
    <row r="131" spans="1:1" x14ac:dyDescent="0.2">
      <c r="A131" s="1" t="str">
        <f t="shared" si="1"/>
        <v/>
      </c>
    </row>
    <row r="132" spans="1:1" x14ac:dyDescent="0.2">
      <c r="A132" s="1" t="str">
        <f t="shared" si="1"/>
        <v/>
      </c>
    </row>
    <row r="133" spans="1:1" x14ac:dyDescent="0.2">
      <c r="A133" s="1" t="str">
        <f t="shared" si="1"/>
        <v/>
      </c>
    </row>
    <row r="134" spans="1:1" x14ac:dyDescent="0.2">
      <c r="A134" s="1" t="str">
        <f t="shared" si="1"/>
        <v/>
      </c>
    </row>
    <row r="135" spans="1:1" x14ac:dyDescent="0.2">
      <c r="A135" s="1" t="str">
        <f t="shared" si="1"/>
        <v/>
      </c>
    </row>
    <row r="136" spans="1:1" x14ac:dyDescent="0.2">
      <c r="A136" s="1" t="str">
        <f t="shared" si="1"/>
        <v/>
      </c>
    </row>
    <row r="137" spans="1:1" x14ac:dyDescent="0.2">
      <c r="A137" s="1" t="str">
        <f t="shared" ref="A137:A200" si="2">IF($B137&lt;&gt;"",$A136+10,"")</f>
        <v/>
      </c>
    </row>
    <row r="138" spans="1:1" x14ac:dyDescent="0.2">
      <c r="A138" s="1" t="str">
        <f t="shared" si="2"/>
        <v/>
      </c>
    </row>
    <row r="139" spans="1:1" x14ac:dyDescent="0.2">
      <c r="A139" s="1" t="str">
        <f t="shared" si="2"/>
        <v/>
      </c>
    </row>
    <row r="140" spans="1:1" x14ac:dyDescent="0.2">
      <c r="A140" s="1" t="str">
        <f t="shared" si="2"/>
        <v/>
      </c>
    </row>
    <row r="141" spans="1:1" x14ac:dyDescent="0.2">
      <c r="A141" s="1" t="str">
        <f t="shared" si="2"/>
        <v/>
      </c>
    </row>
    <row r="142" spans="1:1" x14ac:dyDescent="0.2">
      <c r="A142" s="1" t="str">
        <f t="shared" si="2"/>
        <v/>
      </c>
    </row>
    <row r="143" spans="1:1" x14ac:dyDescent="0.2">
      <c r="A143" s="1" t="str">
        <f t="shared" si="2"/>
        <v/>
      </c>
    </row>
    <row r="144" spans="1:1" x14ac:dyDescent="0.2">
      <c r="A144" s="1" t="str">
        <f t="shared" si="2"/>
        <v/>
      </c>
    </row>
    <row r="145" spans="1:1" x14ac:dyDescent="0.2">
      <c r="A145" s="1" t="str">
        <f t="shared" si="2"/>
        <v/>
      </c>
    </row>
    <row r="146" spans="1:1" x14ac:dyDescent="0.2">
      <c r="A146" s="1" t="str">
        <f t="shared" si="2"/>
        <v/>
      </c>
    </row>
    <row r="147" spans="1:1" x14ac:dyDescent="0.2">
      <c r="A147" s="1" t="str">
        <f t="shared" si="2"/>
        <v/>
      </c>
    </row>
    <row r="148" spans="1:1" x14ac:dyDescent="0.2">
      <c r="A148" s="1" t="str">
        <f t="shared" si="2"/>
        <v/>
      </c>
    </row>
    <row r="149" spans="1:1" x14ac:dyDescent="0.2">
      <c r="A149" s="1" t="str">
        <f t="shared" si="2"/>
        <v/>
      </c>
    </row>
    <row r="150" spans="1:1" x14ac:dyDescent="0.2">
      <c r="A150" s="1" t="str">
        <f t="shared" si="2"/>
        <v/>
      </c>
    </row>
    <row r="151" spans="1:1" x14ac:dyDescent="0.2">
      <c r="A151" s="1" t="str">
        <f t="shared" si="2"/>
        <v/>
      </c>
    </row>
    <row r="152" spans="1:1" x14ac:dyDescent="0.2">
      <c r="A152" s="1" t="str">
        <f t="shared" si="2"/>
        <v/>
      </c>
    </row>
    <row r="153" spans="1:1" x14ac:dyDescent="0.2">
      <c r="A153" s="1" t="str">
        <f t="shared" si="2"/>
        <v/>
      </c>
    </row>
    <row r="154" spans="1:1" x14ac:dyDescent="0.2">
      <c r="A154" s="1" t="str">
        <f t="shared" si="2"/>
        <v/>
      </c>
    </row>
    <row r="155" spans="1:1" x14ac:dyDescent="0.2">
      <c r="A155" s="1" t="str">
        <f t="shared" si="2"/>
        <v/>
      </c>
    </row>
    <row r="156" spans="1:1" x14ac:dyDescent="0.2">
      <c r="A156" s="1" t="str">
        <f t="shared" si="2"/>
        <v/>
      </c>
    </row>
    <row r="157" spans="1:1" x14ac:dyDescent="0.2">
      <c r="A157" s="1" t="str">
        <f t="shared" si="2"/>
        <v/>
      </c>
    </row>
    <row r="158" spans="1:1" x14ac:dyDescent="0.2">
      <c r="A158" s="1" t="str">
        <f t="shared" si="2"/>
        <v/>
      </c>
    </row>
    <row r="159" spans="1:1" x14ac:dyDescent="0.2">
      <c r="A159" s="1" t="str">
        <f t="shared" si="2"/>
        <v/>
      </c>
    </row>
    <row r="160" spans="1:1" x14ac:dyDescent="0.2">
      <c r="A160" s="1" t="str">
        <f t="shared" si="2"/>
        <v/>
      </c>
    </row>
    <row r="161" spans="1:1" x14ac:dyDescent="0.2">
      <c r="A161" s="1" t="str">
        <f t="shared" si="2"/>
        <v/>
      </c>
    </row>
    <row r="162" spans="1:1" x14ac:dyDescent="0.2">
      <c r="A162" s="1" t="str">
        <f t="shared" si="2"/>
        <v/>
      </c>
    </row>
    <row r="163" spans="1:1" x14ac:dyDescent="0.2">
      <c r="A163" s="1" t="str">
        <f t="shared" si="2"/>
        <v/>
      </c>
    </row>
    <row r="164" spans="1:1" x14ac:dyDescent="0.2">
      <c r="A164" s="1" t="str">
        <f t="shared" si="2"/>
        <v/>
      </c>
    </row>
    <row r="165" spans="1:1" x14ac:dyDescent="0.2">
      <c r="A165" s="1" t="str">
        <f t="shared" si="2"/>
        <v/>
      </c>
    </row>
    <row r="166" spans="1:1" x14ac:dyDescent="0.2">
      <c r="A166" s="1" t="str">
        <f t="shared" si="2"/>
        <v/>
      </c>
    </row>
    <row r="167" spans="1:1" x14ac:dyDescent="0.2">
      <c r="A167" s="1" t="str">
        <f t="shared" si="2"/>
        <v/>
      </c>
    </row>
    <row r="168" spans="1:1" x14ac:dyDescent="0.2">
      <c r="A168" s="1" t="str">
        <f t="shared" si="2"/>
        <v/>
      </c>
    </row>
    <row r="169" spans="1:1" x14ac:dyDescent="0.2">
      <c r="A169" s="1" t="str">
        <f t="shared" si="2"/>
        <v/>
      </c>
    </row>
    <row r="170" spans="1:1" x14ac:dyDescent="0.2">
      <c r="A170" s="1" t="str">
        <f t="shared" si="2"/>
        <v/>
      </c>
    </row>
    <row r="171" spans="1:1" x14ac:dyDescent="0.2">
      <c r="A171" s="1" t="str">
        <f t="shared" si="2"/>
        <v/>
      </c>
    </row>
    <row r="172" spans="1:1" x14ac:dyDescent="0.2">
      <c r="A172" s="1" t="str">
        <f t="shared" si="2"/>
        <v/>
      </c>
    </row>
    <row r="173" spans="1:1" x14ac:dyDescent="0.2">
      <c r="A173" s="1" t="str">
        <f t="shared" si="2"/>
        <v/>
      </c>
    </row>
    <row r="174" spans="1:1" x14ac:dyDescent="0.2">
      <c r="A174" s="1" t="str">
        <f t="shared" si="2"/>
        <v/>
      </c>
    </row>
    <row r="175" spans="1:1" x14ac:dyDescent="0.2">
      <c r="A175" s="1" t="str">
        <f t="shared" si="2"/>
        <v/>
      </c>
    </row>
    <row r="176" spans="1:1" x14ac:dyDescent="0.2">
      <c r="A176" s="1" t="str">
        <f t="shared" si="2"/>
        <v/>
      </c>
    </row>
    <row r="177" spans="1:1" x14ac:dyDescent="0.2">
      <c r="A177" s="1" t="str">
        <f t="shared" si="2"/>
        <v/>
      </c>
    </row>
    <row r="178" spans="1:1" x14ac:dyDescent="0.2">
      <c r="A178" s="1" t="str">
        <f t="shared" si="2"/>
        <v/>
      </c>
    </row>
    <row r="179" spans="1:1" x14ac:dyDescent="0.2">
      <c r="A179" s="1" t="str">
        <f t="shared" si="2"/>
        <v/>
      </c>
    </row>
    <row r="180" spans="1:1" x14ac:dyDescent="0.2">
      <c r="A180" s="1" t="str">
        <f t="shared" si="2"/>
        <v/>
      </c>
    </row>
    <row r="181" spans="1:1" x14ac:dyDescent="0.2">
      <c r="A181" s="1" t="str">
        <f t="shared" si="2"/>
        <v/>
      </c>
    </row>
    <row r="182" spans="1:1" x14ac:dyDescent="0.2">
      <c r="A182" s="1" t="str">
        <f t="shared" si="2"/>
        <v/>
      </c>
    </row>
    <row r="183" spans="1:1" x14ac:dyDescent="0.2">
      <c r="A183" s="1" t="str">
        <f t="shared" si="2"/>
        <v/>
      </c>
    </row>
    <row r="184" spans="1:1" x14ac:dyDescent="0.2">
      <c r="A184" s="1" t="str">
        <f t="shared" si="2"/>
        <v/>
      </c>
    </row>
    <row r="185" spans="1:1" x14ac:dyDescent="0.2">
      <c r="A185" s="1" t="str">
        <f t="shared" si="2"/>
        <v/>
      </c>
    </row>
    <row r="186" spans="1:1" x14ac:dyDescent="0.2">
      <c r="A186" s="1" t="str">
        <f t="shared" si="2"/>
        <v/>
      </c>
    </row>
    <row r="187" spans="1:1" x14ac:dyDescent="0.2">
      <c r="A187" s="1" t="str">
        <f t="shared" si="2"/>
        <v/>
      </c>
    </row>
    <row r="188" spans="1:1" x14ac:dyDescent="0.2">
      <c r="A188" s="1" t="str">
        <f t="shared" si="2"/>
        <v/>
      </c>
    </row>
    <row r="189" spans="1:1" x14ac:dyDescent="0.2">
      <c r="A189" s="1" t="str">
        <f t="shared" si="2"/>
        <v/>
      </c>
    </row>
    <row r="190" spans="1:1" x14ac:dyDescent="0.2">
      <c r="A190" s="1" t="str">
        <f t="shared" si="2"/>
        <v/>
      </c>
    </row>
    <row r="191" spans="1:1" x14ac:dyDescent="0.2">
      <c r="A191" s="1" t="str">
        <f t="shared" si="2"/>
        <v/>
      </c>
    </row>
    <row r="192" spans="1:1" x14ac:dyDescent="0.2">
      <c r="A192" s="1" t="str">
        <f t="shared" si="2"/>
        <v/>
      </c>
    </row>
    <row r="193" spans="1:1" x14ac:dyDescent="0.2">
      <c r="A193" s="1" t="str">
        <f t="shared" si="2"/>
        <v/>
      </c>
    </row>
    <row r="194" spans="1:1" x14ac:dyDescent="0.2">
      <c r="A194" s="1" t="str">
        <f t="shared" si="2"/>
        <v/>
      </c>
    </row>
    <row r="195" spans="1:1" x14ac:dyDescent="0.2">
      <c r="A195" s="1" t="str">
        <f t="shared" si="2"/>
        <v/>
      </c>
    </row>
    <row r="196" spans="1:1" x14ac:dyDescent="0.2">
      <c r="A196" s="1" t="str">
        <f t="shared" si="2"/>
        <v/>
      </c>
    </row>
    <row r="197" spans="1:1" x14ac:dyDescent="0.2">
      <c r="A197" s="1" t="str">
        <f t="shared" si="2"/>
        <v/>
      </c>
    </row>
    <row r="198" spans="1:1" x14ac:dyDescent="0.2">
      <c r="A198" s="1" t="str">
        <f t="shared" si="2"/>
        <v/>
      </c>
    </row>
    <row r="199" spans="1:1" x14ac:dyDescent="0.2">
      <c r="A199" s="1" t="str">
        <f t="shared" si="2"/>
        <v/>
      </c>
    </row>
    <row r="200" spans="1:1" x14ac:dyDescent="0.2">
      <c r="A200" s="1" t="str">
        <f t="shared" si="2"/>
        <v/>
      </c>
    </row>
    <row r="201" spans="1:1" x14ac:dyDescent="0.2">
      <c r="A201" s="1" t="str">
        <f t="shared" ref="A201:A264" si="3">IF($B201&lt;&gt;"",$A200+10,"")</f>
        <v/>
      </c>
    </row>
    <row r="202" spans="1:1" x14ac:dyDescent="0.2">
      <c r="A202" s="1" t="str">
        <f t="shared" si="3"/>
        <v/>
      </c>
    </row>
    <row r="203" spans="1:1" x14ac:dyDescent="0.2">
      <c r="A203" s="1" t="str">
        <f t="shared" si="3"/>
        <v/>
      </c>
    </row>
    <row r="204" spans="1:1" x14ac:dyDescent="0.2">
      <c r="A204" s="1" t="str">
        <f t="shared" si="3"/>
        <v/>
      </c>
    </row>
    <row r="205" spans="1:1" x14ac:dyDescent="0.2">
      <c r="A205" s="1" t="str">
        <f t="shared" si="3"/>
        <v/>
      </c>
    </row>
    <row r="206" spans="1:1" x14ac:dyDescent="0.2">
      <c r="A206" s="1" t="str">
        <f t="shared" si="3"/>
        <v/>
      </c>
    </row>
    <row r="207" spans="1:1" x14ac:dyDescent="0.2">
      <c r="A207" s="1" t="str">
        <f t="shared" si="3"/>
        <v/>
      </c>
    </row>
    <row r="208" spans="1:1" x14ac:dyDescent="0.2">
      <c r="A208" s="1" t="str">
        <f t="shared" si="3"/>
        <v/>
      </c>
    </row>
    <row r="209" spans="1:1" x14ac:dyDescent="0.2">
      <c r="A209" s="1" t="str">
        <f t="shared" si="3"/>
        <v/>
      </c>
    </row>
    <row r="210" spans="1:1" x14ac:dyDescent="0.2">
      <c r="A210" s="1" t="str">
        <f t="shared" si="3"/>
        <v/>
      </c>
    </row>
    <row r="211" spans="1:1" x14ac:dyDescent="0.2">
      <c r="A211" s="1" t="str">
        <f t="shared" si="3"/>
        <v/>
      </c>
    </row>
    <row r="212" spans="1:1" x14ac:dyDescent="0.2">
      <c r="A212" s="1" t="str">
        <f t="shared" si="3"/>
        <v/>
      </c>
    </row>
    <row r="213" spans="1:1" x14ac:dyDescent="0.2">
      <c r="A213" s="1" t="str">
        <f t="shared" si="3"/>
        <v/>
      </c>
    </row>
    <row r="214" spans="1:1" x14ac:dyDescent="0.2">
      <c r="A214" s="1" t="str">
        <f t="shared" si="3"/>
        <v/>
      </c>
    </row>
    <row r="215" spans="1:1" x14ac:dyDescent="0.2">
      <c r="A215" s="1" t="str">
        <f t="shared" si="3"/>
        <v/>
      </c>
    </row>
    <row r="216" spans="1:1" x14ac:dyDescent="0.2">
      <c r="A216" s="1" t="str">
        <f t="shared" si="3"/>
        <v/>
      </c>
    </row>
    <row r="217" spans="1:1" x14ac:dyDescent="0.2">
      <c r="A217" s="1" t="str">
        <f t="shared" si="3"/>
        <v/>
      </c>
    </row>
    <row r="218" spans="1:1" x14ac:dyDescent="0.2">
      <c r="A218" s="1" t="str">
        <f t="shared" si="3"/>
        <v/>
      </c>
    </row>
    <row r="219" spans="1:1" x14ac:dyDescent="0.2">
      <c r="A219" s="1" t="str">
        <f t="shared" si="3"/>
        <v/>
      </c>
    </row>
    <row r="220" spans="1:1" x14ac:dyDescent="0.2">
      <c r="A220" s="1" t="str">
        <f t="shared" si="3"/>
        <v/>
      </c>
    </row>
    <row r="221" spans="1:1" x14ac:dyDescent="0.2">
      <c r="A221" s="1" t="str">
        <f t="shared" si="3"/>
        <v/>
      </c>
    </row>
    <row r="222" spans="1:1" x14ac:dyDescent="0.2">
      <c r="A222" s="1" t="str">
        <f t="shared" si="3"/>
        <v/>
      </c>
    </row>
    <row r="223" spans="1:1" x14ac:dyDescent="0.2">
      <c r="A223" s="1" t="str">
        <f t="shared" si="3"/>
        <v/>
      </c>
    </row>
    <row r="224" spans="1:1" x14ac:dyDescent="0.2">
      <c r="A224" s="1" t="str">
        <f t="shared" si="3"/>
        <v/>
      </c>
    </row>
    <row r="225" spans="1:1" x14ac:dyDescent="0.2">
      <c r="A225" s="1" t="str">
        <f t="shared" si="3"/>
        <v/>
      </c>
    </row>
    <row r="226" spans="1:1" x14ac:dyDescent="0.2">
      <c r="A226" s="1" t="str">
        <f t="shared" si="3"/>
        <v/>
      </c>
    </row>
    <row r="227" spans="1:1" x14ac:dyDescent="0.2">
      <c r="A227" s="1" t="str">
        <f t="shared" si="3"/>
        <v/>
      </c>
    </row>
    <row r="228" spans="1:1" x14ac:dyDescent="0.2">
      <c r="A228" s="1" t="str">
        <f t="shared" si="3"/>
        <v/>
      </c>
    </row>
    <row r="229" spans="1:1" x14ac:dyDescent="0.2">
      <c r="A229" s="1" t="str">
        <f t="shared" si="3"/>
        <v/>
      </c>
    </row>
    <row r="230" spans="1:1" x14ac:dyDescent="0.2">
      <c r="A230" s="1" t="str">
        <f t="shared" si="3"/>
        <v/>
      </c>
    </row>
    <row r="231" spans="1:1" x14ac:dyDescent="0.2">
      <c r="A231" s="1" t="str">
        <f t="shared" si="3"/>
        <v/>
      </c>
    </row>
    <row r="232" spans="1:1" x14ac:dyDescent="0.2">
      <c r="A232" s="1" t="str">
        <f t="shared" si="3"/>
        <v/>
      </c>
    </row>
    <row r="233" spans="1:1" x14ac:dyDescent="0.2">
      <c r="A233" s="1" t="str">
        <f t="shared" si="3"/>
        <v/>
      </c>
    </row>
    <row r="234" spans="1:1" x14ac:dyDescent="0.2">
      <c r="A234" s="1" t="str">
        <f t="shared" si="3"/>
        <v/>
      </c>
    </row>
    <row r="235" spans="1:1" x14ac:dyDescent="0.2">
      <c r="A235" s="1" t="str">
        <f t="shared" si="3"/>
        <v/>
      </c>
    </row>
    <row r="236" spans="1:1" x14ac:dyDescent="0.2">
      <c r="A236" s="1" t="str">
        <f t="shared" si="3"/>
        <v/>
      </c>
    </row>
    <row r="237" spans="1:1" x14ac:dyDescent="0.2">
      <c r="A237" s="1" t="str">
        <f t="shared" si="3"/>
        <v/>
      </c>
    </row>
    <row r="238" spans="1:1" x14ac:dyDescent="0.2">
      <c r="A238" s="1" t="str">
        <f t="shared" si="3"/>
        <v/>
      </c>
    </row>
    <row r="239" spans="1:1" x14ac:dyDescent="0.2">
      <c r="A239" s="1" t="str">
        <f t="shared" si="3"/>
        <v/>
      </c>
    </row>
    <row r="240" spans="1:1" x14ac:dyDescent="0.2">
      <c r="A240" s="1" t="str">
        <f t="shared" si="3"/>
        <v/>
      </c>
    </row>
    <row r="241" spans="1:1" x14ac:dyDescent="0.2">
      <c r="A241" s="1" t="str">
        <f t="shared" si="3"/>
        <v/>
      </c>
    </row>
    <row r="242" spans="1:1" x14ac:dyDescent="0.2">
      <c r="A242" s="1" t="str">
        <f t="shared" si="3"/>
        <v/>
      </c>
    </row>
    <row r="243" spans="1:1" x14ac:dyDescent="0.2">
      <c r="A243" s="1" t="str">
        <f t="shared" si="3"/>
        <v/>
      </c>
    </row>
    <row r="244" spans="1:1" x14ac:dyDescent="0.2">
      <c r="A244" s="1" t="str">
        <f t="shared" si="3"/>
        <v/>
      </c>
    </row>
    <row r="245" spans="1:1" x14ac:dyDescent="0.2">
      <c r="A245" s="1" t="str">
        <f t="shared" si="3"/>
        <v/>
      </c>
    </row>
    <row r="246" spans="1:1" x14ac:dyDescent="0.2">
      <c r="A246" s="1" t="str">
        <f t="shared" si="3"/>
        <v/>
      </c>
    </row>
    <row r="247" spans="1:1" x14ac:dyDescent="0.2">
      <c r="A247" s="1" t="str">
        <f t="shared" si="3"/>
        <v/>
      </c>
    </row>
    <row r="248" spans="1:1" x14ac:dyDescent="0.2">
      <c r="A248" s="1" t="str">
        <f t="shared" si="3"/>
        <v/>
      </c>
    </row>
    <row r="249" spans="1:1" x14ac:dyDescent="0.2">
      <c r="A249" s="1" t="str">
        <f t="shared" si="3"/>
        <v/>
      </c>
    </row>
    <row r="250" spans="1:1" x14ac:dyDescent="0.2">
      <c r="A250" s="1" t="str">
        <f t="shared" si="3"/>
        <v/>
      </c>
    </row>
    <row r="251" spans="1:1" x14ac:dyDescent="0.2">
      <c r="A251" s="1" t="str">
        <f t="shared" si="3"/>
        <v/>
      </c>
    </row>
    <row r="252" spans="1:1" x14ac:dyDescent="0.2">
      <c r="A252" s="1" t="str">
        <f t="shared" si="3"/>
        <v/>
      </c>
    </row>
    <row r="253" spans="1:1" x14ac:dyDescent="0.2">
      <c r="A253" s="1" t="str">
        <f t="shared" si="3"/>
        <v/>
      </c>
    </row>
    <row r="254" spans="1:1" x14ac:dyDescent="0.2">
      <c r="A254" s="1" t="str">
        <f t="shared" si="3"/>
        <v/>
      </c>
    </row>
    <row r="255" spans="1:1" x14ac:dyDescent="0.2">
      <c r="A255" s="1" t="str">
        <f t="shared" si="3"/>
        <v/>
      </c>
    </row>
    <row r="256" spans="1:1" x14ac:dyDescent="0.2">
      <c r="A256" s="1" t="str">
        <f t="shared" si="3"/>
        <v/>
      </c>
    </row>
    <row r="257" spans="1:1" x14ac:dyDescent="0.2">
      <c r="A257" s="1" t="str">
        <f t="shared" si="3"/>
        <v/>
      </c>
    </row>
    <row r="258" spans="1:1" x14ac:dyDescent="0.2">
      <c r="A258" s="1" t="str">
        <f t="shared" si="3"/>
        <v/>
      </c>
    </row>
    <row r="259" spans="1:1" x14ac:dyDescent="0.2">
      <c r="A259" s="1" t="str">
        <f t="shared" si="3"/>
        <v/>
      </c>
    </row>
    <row r="260" spans="1:1" x14ac:dyDescent="0.2">
      <c r="A260" s="1" t="str">
        <f t="shared" si="3"/>
        <v/>
      </c>
    </row>
    <row r="261" spans="1:1" x14ac:dyDescent="0.2">
      <c r="A261" s="1" t="str">
        <f t="shared" si="3"/>
        <v/>
      </c>
    </row>
    <row r="262" spans="1:1" x14ac:dyDescent="0.2">
      <c r="A262" s="1" t="str">
        <f t="shared" si="3"/>
        <v/>
      </c>
    </row>
    <row r="263" spans="1:1" x14ac:dyDescent="0.2">
      <c r="A263" s="1" t="str">
        <f t="shared" si="3"/>
        <v/>
      </c>
    </row>
    <row r="264" spans="1:1" x14ac:dyDescent="0.2">
      <c r="A264" s="1" t="str">
        <f t="shared" si="3"/>
        <v/>
      </c>
    </row>
    <row r="265" spans="1:1" x14ac:dyDescent="0.2">
      <c r="A265" s="1" t="str">
        <f t="shared" ref="A265:A328" si="4">IF($B265&lt;&gt;"",$A264+10,"")</f>
        <v/>
      </c>
    </row>
    <row r="266" spans="1:1" x14ac:dyDescent="0.2">
      <c r="A266" s="1" t="str">
        <f t="shared" si="4"/>
        <v/>
      </c>
    </row>
    <row r="267" spans="1:1" x14ac:dyDescent="0.2">
      <c r="A267" s="1" t="str">
        <f t="shared" si="4"/>
        <v/>
      </c>
    </row>
    <row r="268" spans="1:1" x14ac:dyDescent="0.2">
      <c r="A268" s="1" t="str">
        <f t="shared" si="4"/>
        <v/>
      </c>
    </row>
    <row r="269" spans="1:1" x14ac:dyDescent="0.2">
      <c r="A269" s="1" t="str">
        <f t="shared" si="4"/>
        <v/>
      </c>
    </row>
    <row r="270" spans="1:1" x14ac:dyDescent="0.2">
      <c r="A270" s="1" t="str">
        <f t="shared" si="4"/>
        <v/>
      </c>
    </row>
    <row r="271" spans="1:1" x14ac:dyDescent="0.2">
      <c r="A271" s="1" t="str">
        <f t="shared" si="4"/>
        <v/>
      </c>
    </row>
    <row r="272" spans="1:1" x14ac:dyDescent="0.2">
      <c r="A272" s="1" t="str">
        <f t="shared" si="4"/>
        <v/>
      </c>
    </row>
    <row r="273" spans="1:1" x14ac:dyDescent="0.2">
      <c r="A273" s="1" t="str">
        <f t="shared" si="4"/>
        <v/>
      </c>
    </row>
    <row r="274" spans="1:1" x14ac:dyDescent="0.2">
      <c r="A274" s="1" t="str">
        <f t="shared" si="4"/>
        <v/>
      </c>
    </row>
    <row r="275" spans="1:1" x14ac:dyDescent="0.2">
      <c r="A275" s="1" t="str">
        <f t="shared" si="4"/>
        <v/>
      </c>
    </row>
    <row r="276" spans="1:1" x14ac:dyDescent="0.2">
      <c r="A276" s="1" t="str">
        <f t="shared" si="4"/>
        <v/>
      </c>
    </row>
    <row r="277" spans="1:1" x14ac:dyDescent="0.2">
      <c r="A277" s="1" t="str">
        <f t="shared" si="4"/>
        <v/>
      </c>
    </row>
    <row r="278" spans="1:1" x14ac:dyDescent="0.2">
      <c r="A278" s="1" t="str">
        <f t="shared" si="4"/>
        <v/>
      </c>
    </row>
    <row r="279" spans="1:1" x14ac:dyDescent="0.2">
      <c r="A279" s="1" t="str">
        <f t="shared" si="4"/>
        <v/>
      </c>
    </row>
    <row r="280" spans="1:1" x14ac:dyDescent="0.2">
      <c r="A280" s="1" t="str">
        <f t="shared" si="4"/>
        <v/>
      </c>
    </row>
    <row r="281" spans="1:1" x14ac:dyDescent="0.2">
      <c r="A281" s="1" t="str">
        <f t="shared" si="4"/>
        <v/>
      </c>
    </row>
    <row r="282" spans="1:1" x14ac:dyDescent="0.2">
      <c r="A282" s="1" t="str">
        <f t="shared" si="4"/>
        <v/>
      </c>
    </row>
    <row r="283" spans="1:1" x14ac:dyDescent="0.2">
      <c r="A283" s="1" t="str">
        <f t="shared" si="4"/>
        <v/>
      </c>
    </row>
    <row r="284" spans="1:1" x14ac:dyDescent="0.2">
      <c r="A284" s="1" t="str">
        <f t="shared" si="4"/>
        <v/>
      </c>
    </row>
    <row r="285" spans="1:1" x14ac:dyDescent="0.2">
      <c r="A285" s="1" t="str">
        <f t="shared" si="4"/>
        <v/>
      </c>
    </row>
    <row r="286" spans="1:1" x14ac:dyDescent="0.2">
      <c r="A286" s="1" t="str">
        <f t="shared" si="4"/>
        <v/>
      </c>
    </row>
    <row r="287" spans="1:1" x14ac:dyDescent="0.2">
      <c r="A287" s="1" t="str">
        <f t="shared" si="4"/>
        <v/>
      </c>
    </row>
    <row r="288" spans="1:1" x14ac:dyDescent="0.2">
      <c r="A288" s="1" t="str">
        <f t="shared" si="4"/>
        <v/>
      </c>
    </row>
    <row r="289" spans="1:1" x14ac:dyDescent="0.2">
      <c r="A289" s="1" t="str">
        <f t="shared" si="4"/>
        <v/>
      </c>
    </row>
    <row r="290" spans="1:1" x14ac:dyDescent="0.2">
      <c r="A290" s="1" t="str">
        <f t="shared" si="4"/>
        <v/>
      </c>
    </row>
    <row r="291" spans="1:1" x14ac:dyDescent="0.2">
      <c r="A291" s="1" t="str">
        <f t="shared" si="4"/>
        <v/>
      </c>
    </row>
    <row r="292" spans="1:1" x14ac:dyDescent="0.2">
      <c r="A292" s="1" t="str">
        <f t="shared" si="4"/>
        <v/>
      </c>
    </row>
    <row r="293" spans="1:1" x14ac:dyDescent="0.2">
      <c r="A293" s="1" t="str">
        <f t="shared" si="4"/>
        <v/>
      </c>
    </row>
    <row r="294" spans="1:1" x14ac:dyDescent="0.2">
      <c r="A294" s="1" t="str">
        <f t="shared" si="4"/>
        <v/>
      </c>
    </row>
    <row r="295" spans="1:1" x14ac:dyDescent="0.2">
      <c r="A295" s="1" t="str">
        <f t="shared" si="4"/>
        <v/>
      </c>
    </row>
    <row r="296" spans="1:1" x14ac:dyDescent="0.2">
      <c r="A296" s="1" t="str">
        <f t="shared" si="4"/>
        <v/>
      </c>
    </row>
    <row r="297" spans="1:1" x14ac:dyDescent="0.2">
      <c r="A297" s="1" t="str">
        <f t="shared" si="4"/>
        <v/>
      </c>
    </row>
    <row r="298" spans="1:1" x14ac:dyDescent="0.2">
      <c r="A298" s="1" t="str">
        <f t="shared" si="4"/>
        <v/>
      </c>
    </row>
    <row r="299" spans="1:1" x14ac:dyDescent="0.2">
      <c r="A299" s="1" t="str">
        <f t="shared" si="4"/>
        <v/>
      </c>
    </row>
    <row r="300" spans="1:1" x14ac:dyDescent="0.2">
      <c r="A300" s="1" t="str">
        <f t="shared" si="4"/>
        <v/>
      </c>
    </row>
    <row r="301" spans="1:1" x14ac:dyDescent="0.2">
      <c r="A301" s="1" t="str">
        <f t="shared" si="4"/>
        <v/>
      </c>
    </row>
    <row r="302" spans="1:1" x14ac:dyDescent="0.2">
      <c r="A302" s="1" t="str">
        <f t="shared" si="4"/>
        <v/>
      </c>
    </row>
    <row r="303" spans="1:1" x14ac:dyDescent="0.2">
      <c r="A303" s="1" t="str">
        <f t="shared" si="4"/>
        <v/>
      </c>
    </row>
    <row r="304" spans="1:1" x14ac:dyDescent="0.2">
      <c r="A304" s="1" t="str">
        <f t="shared" si="4"/>
        <v/>
      </c>
    </row>
    <row r="305" spans="1:1" x14ac:dyDescent="0.2">
      <c r="A305" s="1" t="str">
        <f t="shared" si="4"/>
        <v/>
      </c>
    </row>
    <row r="306" spans="1:1" x14ac:dyDescent="0.2">
      <c r="A306" s="1" t="str">
        <f t="shared" si="4"/>
        <v/>
      </c>
    </row>
    <row r="307" spans="1:1" x14ac:dyDescent="0.2">
      <c r="A307" s="1" t="str">
        <f t="shared" si="4"/>
        <v/>
      </c>
    </row>
    <row r="308" spans="1:1" x14ac:dyDescent="0.2">
      <c r="A308" s="1" t="str">
        <f t="shared" si="4"/>
        <v/>
      </c>
    </row>
    <row r="309" spans="1:1" x14ac:dyDescent="0.2">
      <c r="A309" s="1" t="str">
        <f t="shared" si="4"/>
        <v/>
      </c>
    </row>
    <row r="310" spans="1:1" x14ac:dyDescent="0.2">
      <c r="A310" s="1" t="str">
        <f t="shared" si="4"/>
        <v/>
      </c>
    </row>
    <row r="311" spans="1:1" x14ac:dyDescent="0.2">
      <c r="A311" s="1" t="str">
        <f t="shared" si="4"/>
        <v/>
      </c>
    </row>
    <row r="312" spans="1:1" x14ac:dyDescent="0.2">
      <c r="A312" s="1" t="str">
        <f t="shared" si="4"/>
        <v/>
      </c>
    </row>
    <row r="313" spans="1:1" x14ac:dyDescent="0.2">
      <c r="A313" s="1" t="str">
        <f t="shared" si="4"/>
        <v/>
      </c>
    </row>
    <row r="314" spans="1:1" x14ac:dyDescent="0.2">
      <c r="A314" s="1" t="str">
        <f t="shared" si="4"/>
        <v/>
      </c>
    </row>
    <row r="315" spans="1:1" x14ac:dyDescent="0.2">
      <c r="A315" s="1" t="str">
        <f t="shared" si="4"/>
        <v/>
      </c>
    </row>
    <row r="316" spans="1:1" x14ac:dyDescent="0.2">
      <c r="A316" s="1" t="str">
        <f t="shared" si="4"/>
        <v/>
      </c>
    </row>
    <row r="317" spans="1:1" x14ac:dyDescent="0.2">
      <c r="A317" s="1" t="str">
        <f t="shared" si="4"/>
        <v/>
      </c>
    </row>
    <row r="318" spans="1:1" x14ac:dyDescent="0.2">
      <c r="A318" s="1" t="str">
        <f t="shared" si="4"/>
        <v/>
      </c>
    </row>
    <row r="319" spans="1:1" x14ac:dyDescent="0.2">
      <c r="A319" s="1" t="str">
        <f t="shared" si="4"/>
        <v/>
      </c>
    </row>
    <row r="320" spans="1:1" x14ac:dyDescent="0.2">
      <c r="A320" s="1" t="str">
        <f t="shared" si="4"/>
        <v/>
      </c>
    </row>
    <row r="321" spans="1:1" x14ac:dyDescent="0.2">
      <c r="A321" s="1" t="str">
        <f t="shared" si="4"/>
        <v/>
      </c>
    </row>
    <row r="322" spans="1:1" x14ac:dyDescent="0.2">
      <c r="A322" s="1" t="str">
        <f t="shared" si="4"/>
        <v/>
      </c>
    </row>
    <row r="323" spans="1:1" x14ac:dyDescent="0.2">
      <c r="A323" s="1" t="str">
        <f t="shared" si="4"/>
        <v/>
      </c>
    </row>
    <row r="324" spans="1:1" x14ac:dyDescent="0.2">
      <c r="A324" s="1" t="str">
        <f t="shared" si="4"/>
        <v/>
      </c>
    </row>
    <row r="325" spans="1:1" x14ac:dyDescent="0.2">
      <c r="A325" s="1" t="str">
        <f t="shared" si="4"/>
        <v/>
      </c>
    </row>
    <row r="326" spans="1:1" x14ac:dyDescent="0.2">
      <c r="A326" s="1" t="str">
        <f t="shared" si="4"/>
        <v/>
      </c>
    </row>
    <row r="327" spans="1:1" x14ac:dyDescent="0.2">
      <c r="A327" s="1" t="str">
        <f t="shared" si="4"/>
        <v/>
      </c>
    </row>
    <row r="328" spans="1:1" x14ac:dyDescent="0.2">
      <c r="A328" s="1" t="str">
        <f t="shared" si="4"/>
        <v/>
      </c>
    </row>
    <row r="329" spans="1:1" x14ac:dyDescent="0.2">
      <c r="A329" s="1" t="str">
        <f t="shared" ref="A329:A392" si="5">IF($B329&lt;&gt;"",$A328+10,"")</f>
        <v/>
      </c>
    </row>
    <row r="330" spans="1:1" x14ac:dyDescent="0.2">
      <c r="A330" s="1" t="str">
        <f t="shared" si="5"/>
        <v/>
      </c>
    </row>
    <row r="331" spans="1:1" x14ac:dyDescent="0.2">
      <c r="A331" s="1" t="str">
        <f t="shared" si="5"/>
        <v/>
      </c>
    </row>
    <row r="332" spans="1:1" x14ac:dyDescent="0.2">
      <c r="A332" s="1" t="str">
        <f t="shared" si="5"/>
        <v/>
      </c>
    </row>
    <row r="333" spans="1:1" x14ac:dyDescent="0.2">
      <c r="A333" s="1" t="str">
        <f t="shared" si="5"/>
        <v/>
      </c>
    </row>
    <row r="334" spans="1:1" x14ac:dyDescent="0.2">
      <c r="A334" s="1" t="str">
        <f t="shared" si="5"/>
        <v/>
      </c>
    </row>
    <row r="335" spans="1:1" x14ac:dyDescent="0.2">
      <c r="A335" s="1" t="str">
        <f t="shared" si="5"/>
        <v/>
      </c>
    </row>
    <row r="336" spans="1:1" x14ac:dyDescent="0.2">
      <c r="A336" s="1" t="str">
        <f t="shared" si="5"/>
        <v/>
      </c>
    </row>
    <row r="337" spans="1:1" x14ac:dyDescent="0.2">
      <c r="A337" s="1" t="str">
        <f t="shared" si="5"/>
        <v/>
      </c>
    </row>
    <row r="338" spans="1:1" x14ac:dyDescent="0.2">
      <c r="A338" s="1" t="str">
        <f t="shared" si="5"/>
        <v/>
      </c>
    </row>
    <row r="339" spans="1:1" x14ac:dyDescent="0.2">
      <c r="A339" s="1" t="str">
        <f t="shared" si="5"/>
        <v/>
      </c>
    </row>
    <row r="340" spans="1:1" x14ac:dyDescent="0.2">
      <c r="A340" s="1" t="str">
        <f t="shared" si="5"/>
        <v/>
      </c>
    </row>
    <row r="341" spans="1:1" x14ac:dyDescent="0.2">
      <c r="A341" s="1" t="str">
        <f t="shared" si="5"/>
        <v/>
      </c>
    </row>
    <row r="342" spans="1:1" x14ac:dyDescent="0.2">
      <c r="A342" s="1" t="str">
        <f t="shared" si="5"/>
        <v/>
      </c>
    </row>
    <row r="343" spans="1:1" x14ac:dyDescent="0.2">
      <c r="A343" s="1" t="str">
        <f t="shared" si="5"/>
        <v/>
      </c>
    </row>
    <row r="344" spans="1:1" x14ac:dyDescent="0.2">
      <c r="A344" s="1" t="str">
        <f t="shared" si="5"/>
        <v/>
      </c>
    </row>
    <row r="345" spans="1:1" x14ac:dyDescent="0.2">
      <c r="A345" s="1" t="str">
        <f t="shared" si="5"/>
        <v/>
      </c>
    </row>
    <row r="346" spans="1:1" x14ac:dyDescent="0.2">
      <c r="A346" s="1" t="str">
        <f t="shared" si="5"/>
        <v/>
      </c>
    </row>
    <row r="347" spans="1:1" x14ac:dyDescent="0.2">
      <c r="A347" s="1" t="str">
        <f t="shared" si="5"/>
        <v/>
      </c>
    </row>
    <row r="348" spans="1:1" x14ac:dyDescent="0.2">
      <c r="A348" s="1" t="str">
        <f t="shared" si="5"/>
        <v/>
      </c>
    </row>
    <row r="349" spans="1:1" x14ac:dyDescent="0.2">
      <c r="A349" s="1" t="str">
        <f t="shared" si="5"/>
        <v/>
      </c>
    </row>
    <row r="350" spans="1:1" x14ac:dyDescent="0.2">
      <c r="A350" s="1" t="str">
        <f t="shared" si="5"/>
        <v/>
      </c>
    </row>
    <row r="351" spans="1:1" x14ac:dyDescent="0.2">
      <c r="A351" s="1" t="str">
        <f t="shared" si="5"/>
        <v/>
      </c>
    </row>
    <row r="352" spans="1:1" x14ac:dyDescent="0.2">
      <c r="A352" s="1" t="str">
        <f t="shared" si="5"/>
        <v/>
      </c>
    </row>
    <row r="353" spans="1:1" x14ac:dyDescent="0.2">
      <c r="A353" s="1" t="str">
        <f t="shared" si="5"/>
        <v/>
      </c>
    </row>
    <row r="354" spans="1:1" x14ac:dyDescent="0.2">
      <c r="A354" s="1" t="str">
        <f t="shared" si="5"/>
        <v/>
      </c>
    </row>
    <row r="355" spans="1:1" x14ac:dyDescent="0.2">
      <c r="A355" s="1" t="str">
        <f t="shared" si="5"/>
        <v/>
      </c>
    </row>
    <row r="356" spans="1:1" x14ac:dyDescent="0.2">
      <c r="A356" s="1" t="str">
        <f t="shared" si="5"/>
        <v/>
      </c>
    </row>
    <row r="357" spans="1:1" x14ac:dyDescent="0.2">
      <c r="A357" s="1" t="str">
        <f t="shared" si="5"/>
        <v/>
      </c>
    </row>
    <row r="358" spans="1:1" x14ac:dyDescent="0.2">
      <c r="A358" s="1" t="str">
        <f t="shared" si="5"/>
        <v/>
      </c>
    </row>
    <row r="359" spans="1:1" x14ac:dyDescent="0.2">
      <c r="A359" s="1" t="str">
        <f t="shared" si="5"/>
        <v/>
      </c>
    </row>
    <row r="360" spans="1:1" x14ac:dyDescent="0.2">
      <c r="A360" s="1" t="str">
        <f t="shared" si="5"/>
        <v/>
      </c>
    </row>
    <row r="361" spans="1:1" x14ac:dyDescent="0.2">
      <c r="A361" s="1" t="str">
        <f t="shared" si="5"/>
        <v/>
      </c>
    </row>
    <row r="362" spans="1:1" x14ac:dyDescent="0.2">
      <c r="A362" s="1" t="str">
        <f t="shared" si="5"/>
        <v/>
      </c>
    </row>
    <row r="363" spans="1:1" x14ac:dyDescent="0.2">
      <c r="A363" s="1" t="str">
        <f t="shared" si="5"/>
        <v/>
      </c>
    </row>
    <row r="364" spans="1:1" x14ac:dyDescent="0.2">
      <c r="A364" s="1" t="str">
        <f t="shared" si="5"/>
        <v/>
      </c>
    </row>
    <row r="365" spans="1:1" x14ac:dyDescent="0.2">
      <c r="A365" s="1" t="str">
        <f t="shared" si="5"/>
        <v/>
      </c>
    </row>
    <row r="366" spans="1:1" x14ac:dyDescent="0.2">
      <c r="A366" s="1" t="str">
        <f t="shared" si="5"/>
        <v/>
      </c>
    </row>
    <row r="367" spans="1:1" x14ac:dyDescent="0.2">
      <c r="A367" s="1" t="str">
        <f t="shared" si="5"/>
        <v/>
      </c>
    </row>
    <row r="368" spans="1:1" x14ac:dyDescent="0.2">
      <c r="A368" s="1" t="str">
        <f t="shared" si="5"/>
        <v/>
      </c>
    </row>
    <row r="369" spans="1:1" x14ac:dyDescent="0.2">
      <c r="A369" s="1" t="str">
        <f t="shared" si="5"/>
        <v/>
      </c>
    </row>
    <row r="370" spans="1:1" x14ac:dyDescent="0.2">
      <c r="A370" s="1" t="str">
        <f t="shared" si="5"/>
        <v/>
      </c>
    </row>
    <row r="371" spans="1:1" x14ac:dyDescent="0.2">
      <c r="A371" s="1" t="str">
        <f t="shared" si="5"/>
        <v/>
      </c>
    </row>
    <row r="372" spans="1:1" x14ac:dyDescent="0.2">
      <c r="A372" s="1" t="str">
        <f t="shared" si="5"/>
        <v/>
      </c>
    </row>
    <row r="373" spans="1:1" x14ac:dyDescent="0.2">
      <c r="A373" s="1" t="str">
        <f t="shared" si="5"/>
        <v/>
      </c>
    </row>
    <row r="374" spans="1:1" x14ac:dyDescent="0.2">
      <c r="A374" s="1" t="str">
        <f t="shared" si="5"/>
        <v/>
      </c>
    </row>
    <row r="375" spans="1:1" x14ac:dyDescent="0.2">
      <c r="A375" s="1" t="str">
        <f t="shared" si="5"/>
        <v/>
      </c>
    </row>
    <row r="376" spans="1:1" x14ac:dyDescent="0.2">
      <c r="A376" s="1" t="str">
        <f t="shared" si="5"/>
        <v/>
      </c>
    </row>
    <row r="377" spans="1:1" x14ac:dyDescent="0.2">
      <c r="A377" s="1" t="str">
        <f t="shared" si="5"/>
        <v/>
      </c>
    </row>
    <row r="378" spans="1:1" x14ac:dyDescent="0.2">
      <c r="A378" s="1" t="str">
        <f t="shared" si="5"/>
        <v/>
      </c>
    </row>
    <row r="379" spans="1:1" x14ac:dyDescent="0.2">
      <c r="A379" s="1" t="str">
        <f t="shared" si="5"/>
        <v/>
      </c>
    </row>
    <row r="380" spans="1:1" x14ac:dyDescent="0.2">
      <c r="A380" s="1" t="str">
        <f t="shared" si="5"/>
        <v/>
      </c>
    </row>
    <row r="381" spans="1:1" x14ac:dyDescent="0.2">
      <c r="A381" s="1" t="str">
        <f t="shared" si="5"/>
        <v/>
      </c>
    </row>
    <row r="382" spans="1:1" x14ac:dyDescent="0.2">
      <c r="A382" s="1" t="str">
        <f t="shared" si="5"/>
        <v/>
      </c>
    </row>
    <row r="383" spans="1:1" x14ac:dyDescent="0.2">
      <c r="A383" s="1" t="str">
        <f t="shared" si="5"/>
        <v/>
      </c>
    </row>
    <row r="384" spans="1:1" x14ac:dyDescent="0.2">
      <c r="A384" s="1" t="str">
        <f t="shared" si="5"/>
        <v/>
      </c>
    </row>
    <row r="385" spans="1:1" x14ac:dyDescent="0.2">
      <c r="A385" s="1" t="str">
        <f t="shared" si="5"/>
        <v/>
      </c>
    </row>
    <row r="386" spans="1:1" x14ac:dyDescent="0.2">
      <c r="A386" s="1" t="str">
        <f t="shared" si="5"/>
        <v/>
      </c>
    </row>
    <row r="387" spans="1:1" x14ac:dyDescent="0.2">
      <c r="A387" s="1" t="str">
        <f t="shared" si="5"/>
        <v/>
      </c>
    </row>
    <row r="388" spans="1:1" x14ac:dyDescent="0.2">
      <c r="A388" s="1" t="str">
        <f t="shared" si="5"/>
        <v/>
      </c>
    </row>
    <row r="389" spans="1:1" x14ac:dyDescent="0.2">
      <c r="A389" s="1" t="str">
        <f t="shared" si="5"/>
        <v/>
      </c>
    </row>
    <row r="390" spans="1:1" x14ac:dyDescent="0.2">
      <c r="A390" s="1" t="str">
        <f t="shared" si="5"/>
        <v/>
      </c>
    </row>
    <row r="391" spans="1:1" x14ac:dyDescent="0.2">
      <c r="A391" s="1" t="str">
        <f t="shared" si="5"/>
        <v/>
      </c>
    </row>
    <row r="392" spans="1:1" x14ac:dyDescent="0.2">
      <c r="A392" s="1" t="str">
        <f t="shared" si="5"/>
        <v/>
      </c>
    </row>
    <row r="393" spans="1:1" x14ac:dyDescent="0.2">
      <c r="A393" s="1" t="str">
        <f t="shared" ref="A393:A456" si="6">IF($B393&lt;&gt;"",$A392+10,"")</f>
        <v/>
      </c>
    </row>
    <row r="394" spans="1:1" x14ac:dyDescent="0.2">
      <c r="A394" s="1" t="str">
        <f t="shared" si="6"/>
        <v/>
      </c>
    </row>
    <row r="395" spans="1:1" x14ac:dyDescent="0.2">
      <c r="A395" s="1" t="str">
        <f t="shared" si="6"/>
        <v/>
      </c>
    </row>
    <row r="396" spans="1:1" x14ac:dyDescent="0.2">
      <c r="A396" s="1" t="str">
        <f t="shared" si="6"/>
        <v/>
      </c>
    </row>
    <row r="397" spans="1:1" x14ac:dyDescent="0.2">
      <c r="A397" s="1" t="str">
        <f t="shared" si="6"/>
        <v/>
      </c>
    </row>
    <row r="398" spans="1:1" x14ac:dyDescent="0.2">
      <c r="A398" s="1" t="str">
        <f t="shared" si="6"/>
        <v/>
      </c>
    </row>
    <row r="399" spans="1:1" x14ac:dyDescent="0.2">
      <c r="A399" s="1" t="str">
        <f t="shared" si="6"/>
        <v/>
      </c>
    </row>
    <row r="400" spans="1:1" x14ac:dyDescent="0.2">
      <c r="A400" s="1" t="str">
        <f t="shared" si="6"/>
        <v/>
      </c>
    </row>
    <row r="401" spans="1:1" x14ac:dyDescent="0.2">
      <c r="A401" s="1" t="str">
        <f t="shared" si="6"/>
        <v/>
      </c>
    </row>
    <row r="402" spans="1:1" x14ac:dyDescent="0.2">
      <c r="A402" s="1" t="str">
        <f t="shared" si="6"/>
        <v/>
      </c>
    </row>
    <row r="403" spans="1:1" x14ac:dyDescent="0.2">
      <c r="A403" s="1" t="str">
        <f t="shared" si="6"/>
        <v/>
      </c>
    </row>
    <row r="404" spans="1:1" x14ac:dyDescent="0.2">
      <c r="A404" s="1" t="str">
        <f t="shared" si="6"/>
        <v/>
      </c>
    </row>
    <row r="405" spans="1:1" x14ac:dyDescent="0.2">
      <c r="A405" s="1" t="str">
        <f t="shared" si="6"/>
        <v/>
      </c>
    </row>
    <row r="406" spans="1:1" x14ac:dyDescent="0.2">
      <c r="A406" s="1" t="str">
        <f t="shared" si="6"/>
        <v/>
      </c>
    </row>
    <row r="407" spans="1:1" x14ac:dyDescent="0.2">
      <c r="A407" s="1" t="str">
        <f t="shared" si="6"/>
        <v/>
      </c>
    </row>
    <row r="408" spans="1:1" x14ac:dyDescent="0.2">
      <c r="A408" s="1" t="str">
        <f t="shared" si="6"/>
        <v/>
      </c>
    </row>
    <row r="409" spans="1:1" x14ac:dyDescent="0.2">
      <c r="A409" s="1" t="str">
        <f t="shared" si="6"/>
        <v/>
      </c>
    </row>
    <row r="410" spans="1:1" x14ac:dyDescent="0.2">
      <c r="A410" s="1" t="str">
        <f t="shared" si="6"/>
        <v/>
      </c>
    </row>
    <row r="411" spans="1:1" x14ac:dyDescent="0.2">
      <c r="A411" s="1" t="str">
        <f t="shared" si="6"/>
        <v/>
      </c>
    </row>
    <row r="412" spans="1:1" x14ac:dyDescent="0.2">
      <c r="A412" s="1" t="str">
        <f t="shared" si="6"/>
        <v/>
      </c>
    </row>
    <row r="413" spans="1:1" x14ac:dyDescent="0.2">
      <c r="A413" s="1" t="str">
        <f t="shared" si="6"/>
        <v/>
      </c>
    </row>
    <row r="414" spans="1:1" x14ac:dyDescent="0.2">
      <c r="A414" s="1" t="str">
        <f t="shared" si="6"/>
        <v/>
      </c>
    </row>
    <row r="415" spans="1:1" x14ac:dyDescent="0.2">
      <c r="A415" s="1" t="str">
        <f t="shared" si="6"/>
        <v/>
      </c>
    </row>
    <row r="416" spans="1:1" x14ac:dyDescent="0.2">
      <c r="A416" s="1" t="str">
        <f t="shared" si="6"/>
        <v/>
      </c>
    </row>
    <row r="417" spans="1:1" x14ac:dyDescent="0.2">
      <c r="A417" s="1" t="str">
        <f t="shared" si="6"/>
        <v/>
      </c>
    </row>
    <row r="418" spans="1:1" x14ac:dyDescent="0.2">
      <c r="A418" s="1" t="str">
        <f t="shared" si="6"/>
        <v/>
      </c>
    </row>
    <row r="419" spans="1:1" x14ac:dyDescent="0.2">
      <c r="A419" s="1" t="str">
        <f t="shared" si="6"/>
        <v/>
      </c>
    </row>
    <row r="420" spans="1:1" x14ac:dyDescent="0.2">
      <c r="A420" s="1" t="str">
        <f t="shared" si="6"/>
        <v/>
      </c>
    </row>
    <row r="421" spans="1:1" x14ac:dyDescent="0.2">
      <c r="A421" s="1" t="str">
        <f t="shared" si="6"/>
        <v/>
      </c>
    </row>
    <row r="422" spans="1:1" x14ac:dyDescent="0.2">
      <c r="A422" s="1" t="str">
        <f t="shared" si="6"/>
        <v/>
      </c>
    </row>
    <row r="423" spans="1:1" x14ac:dyDescent="0.2">
      <c r="A423" s="1" t="str">
        <f t="shared" si="6"/>
        <v/>
      </c>
    </row>
    <row r="424" spans="1:1" x14ac:dyDescent="0.2">
      <c r="A424" s="1" t="str">
        <f t="shared" si="6"/>
        <v/>
      </c>
    </row>
    <row r="425" spans="1:1" x14ac:dyDescent="0.2">
      <c r="A425" s="1" t="str">
        <f t="shared" si="6"/>
        <v/>
      </c>
    </row>
    <row r="426" spans="1:1" x14ac:dyDescent="0.2">
      <c r="A426" s="1" t="str">
        <f t="shared" si="6"/>
        <v/>
      </c>
    </row>
    <row r="427" spans="1:1" x14ac:dyDescent="0.2">
      <c r="A427" s="1" t="str">
        <f t="shared" si="6"/>
        <v/>
      </c>
    </row>
    <row r="428" spans="1:1" x14ac:dyDescent="0.2">
      <c r="A428" s="1" t="str">
        <f t="shared" si="6"/>
        <v/>
      </c>
    </row>
    <row r="429" spans="1:1" x14ac:dyDescent="0.2">
      <c r="A429" s="1" t="str">
        <f t="shared" si="6"/>
        <v/>
      </c>
    </row>
    <row r="430" spans="1:1" x14ac:dyDescent="0.2">
      <c r="A430" s="1" t="str">
        <f t="shared" si="6"/>
        <v/>
      </c>
    </row>
    <row r="431" spans="1:1" x14ac:dyDescent="0.2">
      <c r="A431" s="1" t="str">
        <f t="shared" si="6"/>
        <v/>
      </c>
    </row>
    <row r="432" spans="1:1" x14ac:dyDescent="0.2">
      <c r="A432" s="1" t="str">
        <f t="shared" si="6"/>
        <v/>
      </c>
    </row>
    <row r="433" spans="1:1" x14ac:dyDescent="0.2">
      <c r="A433" s="1" t="str">
        <f t="shared" si="6"/>
        <v/>
      </c>
    </row>
    <row r="434" spans="1:1" x14ac:dyDescent="0.2">
      <c r="A434" s="1" t="str">
        <f t="shared" si="6"/>
        <v/>
      </c>
    </row>
    <row r="435" spans="1:1" x14ac:dyDescent="0.2">
      <c r="A435" s="1" t="str">
        <f t="shared" si="6"/>
        <v/>
      </c>
    </row>
    <row r="436" spans="1:1" x14ac:dyDescent="0.2">
      <c r="A436" s="1" t="str">
        <f t="shared" si="6"/>
        <v/>
      </c>
    </row>
    <row r="437" spans="1:1" x14ac:dyDescent="0.2">
      <c r="A437" s="1" t="str">
        <f t="shared" si="6"/>
        <v/>
      </c>
    </row>
    <row r="438" spans="1:1" x14ac:dyDescent="0.2">
      <c r="A438" s="1" t="str">
        <f t="shared" si="6"/>
        <v/>
      </c>
    </row>
    <row r="439" spans="1:1" x14ac:dyDescent="0.2">
      <c r="A439" s="1" t="str">
        <f t="shared" si="6"/>
        <v/>
      </c>
    </row>
    <row r="440" spans="1:1" x14ac:dyDescent="0.2">
      <c r="A440" s="1" t="str">
        <f t="shared" si="6"/>
        <v/>
      </c>
    </row>
    <row r="441" spans="1:1" x14ac:dyDescent="0.2">
      <c r="A441" s="1" t="str">
        <f t="shared" si="6"/>
        <v/>
      </c>
    </row>
    <row r="442" spans="1:1" x14ac:dyDescent="0.2">
      <c r="A442" s="1" t="str">
        <f t="shared" si="6"/>
        <v/>
      </c>
    </row>
    <row r="443" spans="1:1" x14ac:dyDescent="0.2">
      <c r="A443" s="1" t="str">
        <f t="shared" si="6"/>
        <v/>
      </c>
    </row>
    <row r="444" spans="1:1" x14ac:dyDescent="0.2">
      <c r="A444" s="1" t="str">
        <f t="shared" si="6"/>
        <v/>
      </c>
    </row>
    <row r="445" spans="1:1" x14ac:dyDescent="0.2">
      <c r="A445" s="1" t="str">
        <f t="shared" si="6"/>
        <v/>
      </c>
    </row>
    <row r="446" spans="1:1" x14ac:dyDescent="0.2">
      <c r="A446" s="1" t="str">
        <f t="shared" si="6"/>
        <v/>
      </c>
    </row>
    <row r="447" spans="1:1" x14ac:dyDescent="0.2">
      <c r="A447" s="1" t="str">
        <f t="shared" si="6"/>
        <v/>
      </c>
    </row>
    <row r="448" spans="1:1" x14ac:dyDescent="0.2">
      <c r="A448" s="1" t="str">
        <f t="shared" si="6"/>
        <v/>
      </c>
    </row>
    <row r="449" spans="1:1" x14ac:dyDescent="0.2">
      <c r="A449" s="1" t="str">
        <f t="shared" si="6"/>
        <v/>
      </c>
    </row>
    <row r="450" spans="1:1" x14ac:dyDescent="0.2">
      <c r="A450" s="1" t="str">
        <f t="shared" si="6"/>
        <v/>
      </c>
    </row>
    <row r="451" spans="1:1" x14ac:dyDescent="0.2">
      <c r="A451" s="1" t="str">
        <f t="shared" si="6"/>
        <v/>
      </c>
    </row>
    <row r="452" spans="1:1" x14ac:dyDescent="0.2">
      <c r="A452" s="1" t="str">
        <f t="shared" si="6"/>
        <v/>
      </c>
    </row>
    <row r="453" spans="1:1" x14ac:dyDescent="0.2">
      <c r="A453" s="1" t="str">
        <f t="shared" si="6"/>
        <v/>
      </c>
    </row>
    <row r="454" spans="1:1" x14ac:dyDescent="0.2">
      <c r="A454" s="1" t="str">
        <f t="shared" si="6"/>
        <v/>
      </c>
    </row>
    <row r="455" spans="1:1" x14ac:dyDescent="0.2">
      <c r="A455" s="1" t="str">
        <f t="shared" si="6"/>
        <v/>
      </c>
    </row>
    <row r="456" spans="1:1" x14ac:dyDescent="0.2">
      <c r="A456" s="1" t="str">
        <f t="shared" si="6"/>
        <v/>
      </c>
    </row>
    <row r="457" spans="1:1" x14ac:dyDescent="0.2">
      <c r="A457" s="1" t="str">
        <f t="shared" ref="A457:A520" si="7">IF($B457&lt;&gt;"",$A456+10,"")</f>
        <v/>
      </c>
    </row>
    <row r="458" spans="1:1" x14ac:dyDescent="0.2">
      <c r="A458" s="1" t="str">
        <f t="shared" si="7"/>
        <v/>
      </c>
    </row>
    <row r="459" spans="1:1" x14ac:dyDescent="0.2">
      <c r="A459" s="1" t="str">
        <f t="shared" si="7"/>
        <v/>
      </c>
    </row>
    <row r="460" spans="1:1" x14ac:dyDescent="0.2">
      <c r="A460" s="1" t="str">
        <f t="shared" si="7"/>
        <v/>
      </c>
    </row>
    <row r="461" spans="1:1" x14ac:dyDescent="0.2">
      <c r="A461" s="1" t="str">
        <f t="shared" si="7"/>
        <v/>
      </c>
    </row>
    <row r="462" spans="1:1" x14ac:dyDescent="0.2">
      <c r="A462" s="1" t="str">
        <f t="shared" si="7"/>
        <v/>
      </c>
    </row>
    <row r="463" spans="1:1" x14ac:dyDescent="0.2">
      <c r="A463" s="1" t="str">
        <f t="shared" si="7"/>
        <v/>
      </c>
    </row>
    <row r="464" spans="1:1" x14ac:dyDescent="0.2">
      <c r="A464" s="1" t="str">
        <f t="shared" si="7"/>
        <v/>
      </c>
    </row>
    <row r="465" spans="1:1" x14ac:dyDescent="0.2">
      <c r="A465" s="1" t="str">
        <f t="shared" si="7"/>
        <v/>
      </c>
    </row>
    <row r="466" spans="1:1" x14ac:dyDescent="0.2">
      <c r="A466" s="1" t="str">
        <f t="shared" si="7"/>
        <v/>
      </c>
    </row>
    <row r="467" spans="1:1" x14ac:dyDescent="0.2">
      <c r="A467" s="1" t="str">
        <f t="shared" si="7"/>
        <v/>
      </c>
    </row>
    <row r="468" spans="1:1" x14ac:dyDescent="0.2">
      <c r="A468" s="1" t="str">
        <f t="shared" si="7"/>
        <v/>
      </c>
    </row>
    <row r="469" spans="1:1" x14ac:dyDescent="0.2">
      <c r="A469" s="1" t="str">
        <f t="shared" si="7"/>
        <v/>
      </c>
    </row>
    <row r="470" spans="1:1" x14ac:dyDescent="0.2">
      <c r="A470" s="1" t="str">
        <f t="shared" si="7"/>
        <v/>
      </c>
    </row>
    <row r="471" spans="1:1" x14ac:dyDescent="0.2">
      <c r="A471" s="1" t="str">
        <f t="shared" si="7"/>
        <v/>
      </c>
    </row>
    <row r="472" spans="1:1" x14ac:dyDescent="0.2">
      <c r="A472" s="1" t="str">
        <f t="shared" si="7"/>
        <v/>
      </c>
    </row>
    <row r="473" spans="1:1" x14ac:dyDescent="0.2">
      <c r="A473" s="1" t="str">
        <f t="shared" si="7"/>
        <v/>
      </c>
    </row>
    <row r="474" spans="1:1" x14ac:dyDescent="0.2">
      <c r="A474" s="1" t="str">
        <f t="shared" si="7"/>
        <v/>
      </c>
    </row>
    <row r="475" spans="1:1" x14ac:dyDescent="0.2">
      <c r="A475" s="1" t="str">
        <f t="shared" si="7"/>
        <v/>
      </c>
    </row>
    <row r="476" spans="1:1" x14ac:dyDescent="0.2">
      <c r="A476" s="1" t="str">
        <f t="shared" si="7"/>
        <v/>
      </c>
    </row>
    <row r="477" spans="1:1" x14ac:dyDescent="0.2">
      <c r="A477" s="1" t="str">
        <f t="shared" si="7"/>
        <v/>
      </c>
    </row>
    <row r="478" spans="1:1" x14ac:dyDescent="0.2">
      <c r="A478" s="1" t="str">
        <f t="shared" si="7"/>
        <v/>
      </c>
    </row>
    <row r="479" spans="1:1" x14ac:dyDescent="0.2">
      <c r="A479" s="1" t="str">
        <f t="shared" si="7"/>
        <v/>
      </c>
    </row>
    <row r="480" spans="1:1" x14ac:dyDescent="0.2">
      <c r="A480" s="1" t="str">
        <f t="shared" si="7"/>
        <v/>
      </c>
    </row>
    <row r="481" spans="1:1" x14ac:dyDescent="0.2">
      <c r="A481" s="1" t="str">
        <f t="shared" si="7"/>
        <v/>
      </c>
    </row>
    <row r="482" spans="1:1" x14ac:dyDescent="0.2">
      <c r="A482" s="1" t="str">
        <f t="shared" si="7"/>
        <v/>
      </c>
    </row>
    <row r="483" spans="1:1" x14ac:dyDescent="0.2">
      <c r="A483" s="1" t="str">
        <f t="shared" si="7"/>
        <v/>
      </c>
    </row>
    <row r="484" spans="1:1" x14ac:dyDescent="0.2">
      <c r="A484" s="1" t="str">
        <f t="shared" si="7"/>
        <v/>
      </c>
    </row>
    <row r="485" spans="1:1" x14ac:dyDescent="0.2">
      <c r="A485" s="1" t="str">
        <f t="shared" si="7"/>
        <v/>
      </c>
    </row>
    <row r="486" spans="1:1" x14ac:dyDescent="0.2">
      <c r="A486" s="1" t="str">
        <f t="shared" si="7"/>
        <v/>
      </c>
    </row>
    <row r="487" spans="1:1" x14ac:dyDescent="0.2">
      <c r="A487" s="1" t="str">
        <f t="shared" si="7"/>
        <v/>
      </c>
    </row>
    <row r="488" spans="1:1" x14ac:dyDescent="0.2">
      <c r="A488" s="1" t="str">
        <f t="shared" si="7"/>
        <v/>
      </c>
    </row>
    <row r="489" spans="1:1" x14ac:dyDescent="0.2">
      <c r="A489" s="1" t="str">
        <f t="shared" si="7"/>
        <v/>
      </c>
    </row>
    <row r="490" spans="1:1" x14ac:dyDescent="0.2">
      <c r="A490" s="1" t="str">
        <f t="shared" si="7"/>
        <v/>
      </c>
    </row>
    <row r="491" spans="1:1" x14ac:dyDescent="0.2">
      <c r="A491" s="1" t="str">
        <f t="shared" si="7"/>
        <v/>
      </c>
    </row>
    <row r="492" spans="1:1" x14ac:dyDescent="0.2">
      <c r="A492" s="1" t="str">
        <f t="shared" si="7"/>
        <v/>
      </c>
    </row>
    <row r="493" spans="1:1" x14ac:dyDescent="0.2">
      <c r="A493" s="1" t="str">
        <f t="shared" si="7"/>
        <v/>
      </c>
    </row>
    <row r="494" spans="1:1" x14ac:dyDescent="0.2">
      <c r="A494" s="1" t="str">
        <f t="shared" si="7"/>
        <v/>
      </c>
    </row>
    <row r="495" spans="1:1" x14ac:dyDescent="0.2">
      <c r="A495" s="1" t="str">
        <f t="shared" si="7"/>
        <v/>
      </c>
    </row>
    <row r="496" spans="1:1" x14ac:dyDescent="0.2">
      <c r="A496" s="1" t="str">
        <f t="shared" si="7"/>
        <v/>
      </c>
    </row>
    <row r="497" spans="1:1" x14ac:dyDescent="0.2">
      <c r="A497" s="1" t="str">
        <f t="shared" si="7"/>
        <v/>
      </c>
    </row>
    <row r="498" spans="1:1" x14ac:dyDescent="0.2">
      <c r="A498" s="1" t="str">
        <f t="shared" si="7"/>
        <v/>
      </c>
    </row>
    <row r="499" spans="1:1" x14ac:dyDescent="0.2">
      <c r="A499" s="1" t="str">
        <f t="shared" si="7"/>
        <v/>
      </c>
    </row>
    <row r="500" spans="1:1" x14ac:dyDescent="0.2">
      <c r="A500" s="1" t="str">
        <f t="shared" si="7"/>
        <v/>
      </c>
    </row>
    <row r="501" spans="1:1" x14ac:dyDescent="0.2">
      <c r="A501" s="1" t="str">
        <f t="shared" si="7"/>
        <v/>
      </c>
    </row>
    <row r="502" spans="1:1" x14ac:dyDescent="0.2">
      <c r="A502" s="1" t="str">
        <f t="shared" si="7"/>
        <v/>
      </c>
    </row>
    <row r="503" spans="1:1" x14ac:dyDescent="0.2">
      <c r="A503" s="1" t="str">
        <f t="shared" si="7"/>
        <v/>
      </c>
    </row>
    <row r="504" spans="1:1" x14ac:dyDescent="0.2">
      <c r="A504" s="1" t="str">
        <f t="shared" si="7"/>
        <v/>
      </c>
    </row>
    <row r="505" spans="1:1" x14ac:dyDescent="0.2">
      <c r="A505" s="1" t="str">
        <f t="shared" si="7"/>
        <v/>
      </c>
    </row>
    <row r="506" spans="1:1" x14ac:dyDescent="0.2">
      <c r="A506" s="1" t="str">
        <f t="shared" si="7"/>
        <v/>
      </c>
    </row>
    <row r="507" spans="1:1" x14ac:dyDescent="0.2">
      <c r="A507" s="1" t="str">
        <f t="shared" si="7"/>
        <v/>
      </c>
    </row>
    <row r="508" spans="1:1" x14ac:dyDescent="0.2">
      <c r="A508" s="1" t="str">
        <f t="shared" si="7"/>
        <v/>
      </c>
    </row>
    <row r="509" spans="1:1" x14ac:dyDescent="0.2">
      <c r="A509" s="1" t="str">
        <f t="shared" si="7"/>
        <v/>
      </c>
    </row>
    <row r="510" spans="1:1" x14ac:dyDescent="0.2">
      <c r="A510" s="1" t="str">
        <f t="shared" si="7"/>
        <v/>
      </c>
    </row>
    <row r="511" spans="1:1" x14ac:dyDescent="0.2">
      <c r="A511" s="1" t="str">
        <f t="shared" si="7"/>
        <v/>
      </c>
    </row>
    <row r="512" spans="1:1" x14ac:dyDescent="0.2">
      <c r="A512" s="1" t="str">
        <f t="shared" si="7"/>
        <v/>
      </c>
    </row>
    <row r="513" spans="1:1" x14ac:dyDescent="0.2">
      <c r="A513" s="1" t="str">
        <f t="shared" si="7"/>
        <v/>
      </c>
    </row>
    <row r="514" spans="1:1" x14ac:dyDescent="0.2">
      <c r="A514" s="1" t="str">
        <f t="shared" si="7"/>
        <v/>
      </c>
    </row>
    <row r="515" spans="1:1" x14ac:dyDescent="0.2">
      <c r="A515" s="1" t="str">
        <f t="shared" si="7"/>
        <v/>
      </c>
    </row>
    <row r="516" spans="1:1" x14ac:dyDescent="0.2">
      <c r="A516" s="1" t="str">
        <f t="shared" si="7"/>
        <v/>
      </c>
    </row>
    <row r="517" spans="1:1" x14ac:dyDescent="0.2">
      <c r="A517" s="1" t="str">
        <f t="shared" si="7"/>
        <v/>
      </c>
    </row>
    <row r="518" spans="1:1" x14ac:dyDescent="0.2">
      <c r="A518" s="1" t="str">
        <f t="shared" si="7"/>
        <v/>
      </c>
    </row>
    <row r="519" spans="1:1" x14ac:dyDescent="0.2">
      <c r="A519" s="1" t="str">
        <f t="shared" si="7"/>
        <v/>
      </c>
    </row>
    <row r="520" spans="1:1" x14ac:dyDescent="0.2">
      <c r="A520" s="1" t="str">
        <f t="shared" si="7"/>
        <v/>
      </c>
    </row>
    <row r="521" spans="1:1" x14ac:dyDescent="0.2">
      <c r="A521" s="1" t="str">
        <f t="shared" ref="A521:A584" si="8">IF($B521&lt;&gt;"",$A520+10,"")</f>
        <v/>
      </c>
    </row>
    <row r="522" spans="1:1" x14ac:dyDescent="0.2">
      <c r="A522" s="1" t="str">
        <f t="shared" si="8"/>
        <v/>
      </c>
    </row>
    <row r="523" spans="1:1" x14ac:dyDescent="0.2">
      <c r="A523" s="1" t="str">
        <f t="shared" si="8"/>
        <v/>
      </c>
    </row>
    <row r="524" spans="1:1" x14ac:dyDescent="0.2">
      <c r="A524" s="1" t="str">
        <f t="shared" si="8"/>
        <v/>
      </c>
    </row>
    <row r="525" spans="1:1" x14ac:dyDescent="0.2">
      <c r="A525" s="1" t="str">
        <f t="shared" si="8"/>
        <v/>
      </c>
    </row>
    <row r="526" spans="1:1" x14ac:dyDescent="0.2">
      <c r="A526" s="1" t="str">
        <f t="shared" si="8"/>
        <v/>
      </c>
    </row>
    <row r="527" spans="1:1" x14ac:dyDescent="0.2">
      <c r="A527" s="1" t="str">
        <f t="shared" si="8"/>
        <v/>
      </c>
    </row>
    <row r="528" spans="1:1" x14ac:dyDescent="0.2">
      <c r="A528" s="1" t="str">
        <f t="shared" si="8"/>
        <v/>
      </c>
    </row>
    <row r="529" spans="1:1" x14ac:dyDescent="0.2">
      <c r="A529" s="1" t="str">
        <f t="shared" si="8"/>
        <v/>
      </c>
    </row>
    <row r="530" spans="1:1" x14ac:dyDescent="0.2">
      <c r="A530" s="1" t="str">
        <f t="shared" si="8"/>
        <v/>
      </c>
    </row>
    <row r="531" spans="1:1" x14ac:dyDescent="0.2">
      <c r="A531" s="1" t="str">
        <f t="shared" si="8"/>
        <v/>
      </c>
    </row>
    <row r="532" spans="1:1" x14ac:dyDescent="0.2">
      <c r="A532" s="1" t="str">
        <f t="shared" si="8"/>
        <v/>
      </c>
    </row>
    <row r="533" spans="1:1" x14ac:dyDescent="0.2">
      <c r="A533" s="1" t="str">
        <f t="shared" si="8"/>
        <v/>
      </c>
    </row>
    <row r="534" spans="1:1" x14ac:dyDescent="0.2">
      <c r="A534" s="1" t="str">
        <f t="shared" si="8"/>
        <v/>
      </c>
    </row>
    <row r="535" spans="1:1" x14ac:dyDescent="0.2">
      <c r="A535" s="1" t="str">
        <f t="shared" si="8"/>
        <v/>
      </c>
    </row>
    <row r="536" spans="1:1" x14ac:dyDescent="0.2">
      <c r="A536" s="1" t="str">
        <f t="shared" si="8"/>
        <v/>
      </c>
    </row>
    <row r="537" spans="1:1" x14ac:dyDescent="0.2">
      <c r="A537" s="1" t="str">
        <f t="shared" si="8"/>
        <v/>
      </c>
    </row>
    <row r="538" spans="1:1" x14ac:dyDescent="0.2">
      <c r="A538" s="1" t="str">
        <f t="shared" si="8"/>
        <v/>
      </c>
    </row>
    <row r="539" spans="1:1" x14ac:dyDescent="0.2">
      <c r="A539" s="1" t="str">
        <f t="shared" si="8"/>
        <v/>
      </c>
    </row>
    <row r="540" spans="1:1" x14ac:dyDescent="0.2">
      <c r="A540" s="1" t="str">
        <f t="shared" si="8"/>
        <v/>
      </c>
    </row>
    <row r="541" spans="1:1" x14ac:dyDescent="0.2">
      <c r="A541" s="1" t="str">
        <f t="shared" si="8"/>
        <v/>
      </c>
    </row>
    <row r="542" spans="1:1" x14ac:dyDescent="0.2">
      <c r="A542" s="1" t="str">
        <f t="shared" si="8"/>
        <v/>
      </c>
    </row>
    <row r="543" spans="1:1" x14ac:dyDescent="0.2">
      <c r="A543" s="1" t="str">
        <f t="shared" si="8"/>
        <v/>
      </c>
    </row>
    <row r="544" spans="1:1" x14ac:dyDescent="0.2">
      <c r="A544" s="1" t="str">
        <f t="shared" si="8"/>
        <v/>
      </c>
    </row>
    <row r="545" spans="1:1" x14ac:dyDescent="0.2">
      <c r="A545" s="1" t="str">
        <f t="shared" si="8"/>
        <v/>
      </c>
    </row>
    <row r="546" spans="1:1" x14ac:dyDescent="0.2">
      <c r="A546" s="1" t="str">
        <f t="shared" si="8"/>
        <v/>
      </c>
    </row>
    <row r="547" spans="1:1" x14ac:dyDescent="0.2">
      <c r="A547" s="1" t="str">
        <f t="shared" si="8"/>
        <v/>
      </c>
    </row>
    <row r="548" spans="1:1" x14ac:dyDescent="0.2">
      <c r="A548" s="1" t="str">
        <f t="shared" si="8"/>
        <v/>
      </c>
    </row>
    <row r="549" spans="1:1" x14ac:dyDescent="0.2">
      <c r="A549" s="1" t="str">
        <f t="shared" si="8"/>
        <v/>
      </c>
    </row>
    <row r="550" spans="1:1" x14ac:dyDescent="0.2">
      <c r="A550" s="1" t="str">
        <f t="shared" si="8"/>
        <v/>
      </c>
    </row>
    <row r="551" spans="1:1" x14ac:dyDescent="0.2">
      <c r="A551" s="1" t="str">
        <f t="shared" si="8"/>
        <v/>
      </c>
    </row>
    <row r="552" spans="1:1" x14ac:dyDescent="0.2">
      <c r="A552" s="1" t="str">
        <f t="shared" si="8"/>
        <v/>
      </c>
    </row>
    <row r="553" spans="1:1" x14ac:dyDescent="0.2">
      <c r="A553" s="1" t="str">
        <f t="shared" si="8"/>
        <v/>
      </c>
    </row>
    <row r="554" spans="1:1" x14ac:dyDescent="0.2">
      <c r="A554" s="1" t="str">
        <f t="shared" si="8"/>
        <v/>
      </c>
    </row>
    <row r="555" spans="1:1" x14ac:dyDescent="0.2">
      <c r="A555" s="1" t="str">
        <f t="shared" si="8"/>
        <v/>
      </c>
    </row>
    <row r="556" spans="1:1" x14ac:dyDescent="0.2">
      <c r="A556" s="1" t="str">
        <f t="shared" si="8"/>
        <v/>
      </c>
    </row>
    <row r="557" spans="1:1" x14ac:dyDescent="0.2">
      <c r="A557" s="1" t="str">
        <f t="shared" si="8"/>
        <v/>
      </c>
    </row>
    <row r="558" spans="1:1" x14ac:dyDescent="0.2">
      <c r="A558" s="1" t="str">
        <f t="shared" si="8"/>
        <v/>
      </c>
    </row>
    <row r="559" spans="1:1" x14ac:dyDescent="0.2">
      <c r="A559" s="1" t="str">
        <f t="shared" si="8"/>
        <v/>
      </c>
    </row>
    <row r="560" spans="1:1" x14ac:dyDescent="0.2">
      <c r="A560" s="1" t="str">
        <f t="shared" si="8"/>
        <v/>
      </c>
    </row>
    <row r="561" spans="1:1" x14ac:dyDescent="0.2">
      <c r="A561" s="1" t="str">
        <f t="shared" si="8"/>
        <v/>
      </c>
    </row>
    <row r="562" spans="1:1" x14ac:dyDescent="0.2">
      <c r="A562" s="1" t="str">
        <f t="shared" si="8"/>
        <v/>
      </c>
    </row>
    <row r="563" spans="1:1" x14ac:dyDescent="0.2">
      <c r="A563" s="1" t="str">
        <f t="shared" si="8"/>
        <v/>
      </c>
    </row>
    <row r="564" spans="1:1" x14ac:dyDescent="0.2">
      <c r="A564" s="1" t="str">
        <f t="shared" si="8"/>
        <v/>
      </c>
    </row>
    <row r="565" spans="1:1" x14ac:dyDescent="0.2">
      <c r="A565" s="1" t="str">
        <f t="shared" si="8"/>
        <v/>
      </c>
    </row>
    <row r="566" spans="1:1" x14ac:dyDescent="0.2">
      <c r="A566" s="1" t="str">
        <f t="shared" si="8"/>
        <v/>
      </c>
    </row>
    <row r="567" spans="1:1" x14ac:dyDescent="0.2">
      <c r="A567" s="1" t="str">
        <f t="shared" si="8"/>
        <v/>
      </c>
    </row>
    <row r="568" spans="1:1" x14ac:dyDescent="0.2">
      <c r="A568" s="1" t="str">
        <f t="shared" si="8"/>
        <v/>
      </c>
    </row>
    <row r="569" spans="1:1" x14ac:dyDescent="0.2">
      <c r="A569" s="1" t="str">
        <f t="shared" si="8"/>
        <v/>
      </c>
    </row>
    <row r="570" spans="1:1" x14ac:dyDescent="0.2">
      <c r="A570" s="1" t="str">
        <f t="shared" si="8"/>
        <v/>
      </c>
    </row>
    <row r="571" spans="1:1" x14ac:dyDescent="0.2">
      <c r="A571" s="1" t="str">
        <f t="shared" si="8"/>
        <v/>
      </c>
    </row>
    <row r="572" spans="1:1" x14ac:dyDescent="0.2">
      <c r="A572" s="1" t="str">
        <f t="shared" si="8"/>
        <v/>
      </c>
    </row>
    <row r="573" spans="1:1" x14ac:dyDescent="0.2">
      <c r="A573" s="1" t="str">
        <f t="shared" si="8"/>
        <v/>
      </c>
    </row>
    <row r="574" spans="1:1" x14ac:dyDescent="0.2">
      <c r="A574" s="1" t="str">
        <f t="shared" si="8"/>
        <v/>
      </c>
    </row>
    <row r="575" spans="1:1" x14ac:dyDescent="0.2">
      <c r="A575" s="1" t="str">
        <f t="shared" si="8"/>
        <v/>
      </c>
    </row>
    <row r="576" spans="1:1" x14ac:dyDescent="0.2">
      <c r="A576" s="1" t="str">
        <f t="shared" si="8"/>
        <v/>
      </c>
    </row>
    <row r="577" spans="1:1" x14ac:dyDescent="0.2">
      <c r="A577" s="1" t="str">
        <f t="shared" si="8"/>
        <v/>
      </c>
    </row>
    <row r="578" spans="1:1" x14ac:dyDescent="0.2">
      <c r="A578" s="1" t="str">
        <f t="shared" si="8"/>
        <v/>
      </c>
    </row>
    <row r="579" spans="1:1" x14ac:dyDescent="0.2">
      <c r="A579" s="1" t="str">
        <f t="shared" si="8"/>
        <v/>
      </c>
    </row>
    <row r="580" spans="1:1" x14ac:dyDescent="0.2">
      <c r="A580" s="1" t="str">
        <f t="shared" si="8"/>
        <v/>
      </c>
    </row>
    <row r="581" spans="1:1" x14ac:dyDescent="0.2">
      <c r="A581" s="1" t="str">
        <f t="shared" si="8"/>
        <v/>
      </c>
    </row>
    <row r="582" spans="1:1" x14ac:dyDescent="0.2">
      <c r="A582" s="1" t="str">
        <f t="shared" si="8"/>
        <v/>
      </c>
    </row>
    <row r="583" spans="1:1" x14ac:dyDescent="0.2">
      <c r="A583" s="1" t="str">
        <f t="shared" si="8"/>
        <v/>
      </c>
    </row>
    <row r="584" spans="1:1" x14ac:dyDescent="0.2">
      <c r="A584" s="1" t="str">
        <f t="shared" si="8"/>
        <v/>
      </c>
    </row>
    <row r="585" spans="1:1" x14ac:dyDescent="0.2">
      <c r="A585" s="1" t="str">
        <f t="shared" ref="A585:A648" si="9">IF($B585&lt;&gt;"",$A584+10,"")</f>
        <v/>
      </c>
    </row>
    <row r="586" spans="1:1" x14ac:dyDescent="0.2">
      <c r="A586" s="1" t="str">
        <f t="shared" si="9"/>
        <v/>
      </c>
    </row>
    <row r="587" spans="1:1" x14ac:dyDescent="0.2">
      <c r="A587" s="1" t="str">
        <f t="shared" si="9"/>
        <v/>
      </c>
    </row>
    <row r="588" spans="1:1" x14ac:dyDescent="0.2">
      <c r="A588" s="1" t="str">
        <f t="shared" si="9"/>
        <v/>
      </c>
    </row>
    <row r="589" spans="1:1" x14ac:dyDescent="0.2">
      <c r="A589" s="1" t="str">
        <f t="shared" si="9"/>
        <v/>
      </c>
    </row>
    <row r="590" spans="1:1" x14ac:dyDescent="0.2">
      <c r="A590" s="1" t="str">
        <f t="shared" si="9"/>
        <v/>
      </c>
    </row>
    <row r="591" spans="1:1" x14ac:dyDescent="0.2">
      <c r="A591" s="1" t="str">
        <f t="shared" si="9"/>
        <v/>
      </c>
    </row>
    <row r="592" spans="1:1" x14ac:dyDescent="0.2">
      <c r="A592" s="1" t="str">
        <f t="shared" si="9"/>
        <v/>
      </c>
    </row>
    <row r="593" spans="1:1" x14ac:dyDescent="0.2">
      <c r="A593" s="1" t="str">
        <f t="shared" si="9"/>
        <v/>
      </c>
    </row>
    <row r="594" spans="1:1" x14ac:dyDescent="0.2">
      <c r="A594" s="1" t="str">
        <f t="shared" si="9"/>
        <v/>
      </c>
    </row>
    <row r="595" spans="1:1" x14ac:dyDescent="0.2">
      <c r="A595" s="1" t="str">
        <f t="shared" si="9"/>
        <v/>
      </c>
    </row>
    <row r="596" spans="1:1" x14ac:dyDescent="0.2">
      <c r="A596" s="1" t="str">
        <f t="shared" si="9"/>
        <v/>
      </c>
    </row>
    <row r="597" spans="1:1" x14ac:dyDescent="0.2">
      <c r="A597" s="1" t="str">
        <f t="shared" si="9"/>
        <v/>
      </c>
    </row>
    <row r="598" spans="1:1" x14ac:dyDescent="0.2">
      <c r="A598" s="1" t="str">
        <f t="shared" si="9"/>
        <v/>
      </c>
    </row>
    <row r="599" spans="1:1" x14ac:dyDescent="0.2">
      <c r="A599" s="1" t="str">
        <f t="shared" si="9"/>
        <v/>
      </c>
    </row>
    <row r="600" spans="1:1" x14ac:dyDescent="0.2">
      <c r="A600" s="1" t="str">
        <f t="shared" si="9"/>
        <v/>
      </c>
    </row>
    <row r="601" spans="1:1" x14ac:dyDescent="0.2">
      <c r="A601" s="1" t="str">
        <f t="shared" si="9"/>
        <v/>
      </c>
    </row>
    <row r="602" spans="1:1" x14ac:dyDescent="0.2">
      <c r="A602" s="1" t="str">
        <f t="shared" si="9"/>
        <v/>
      </c>
    </row>
    <row r="603" spans="1:1" x14ac:dyDescent="0.2">
      <c r="A603" s="1" t="str">
        <f t="shared" si="9"/>
        <v/>
      </c>
    </row>
    <row r="604" spans="1:1" x14ac:dyDescent="0.2">
      <c r="A604" s="1" t="str">
        <f t="shared" si="9"/>
        <v/>
      </c>
    </row>
    <row r="605" spans="1:1" x14ac:dyDescent="0.2">
      <c r="A605" s="1" t="str">
        <f t="shared" si="9"/>
        <v/>
      </c>
    </row>
    <row r="606" spans="1:1" x14ac:dyDescent="0.2">
      <c r="A606" s="1" t="str">
        <f t="shared" si="9"/>
        <v/>
      </c>
    </row>
    <row r="607" spans="1:1" x14ac:dyDescent="0.2">
      <c r="A607" s="1" t="str">
        <f t="shared" si="9"/>
        <v/>
      </c>
    </row>
    <row r="608" spans="1:1" x14ac:dyDescent="0.2">
      <c r="A608" s="1" t="str">
        <f t="shared" si="9"/>
        <v/>
      </c>
    </row>
    <row r="609" spans="1:1" x14ac:dyDescent="0.2">
      <c r="A609" s="1" t="str">
        <f t="shared" si="9"/>
        <v/>
      </c>
    </row>
    <row r="610" spans="1:1" x14ac:dyDescent="0.2">
      <c r="A610" s="1" t="str">
        <f t="shared" si="9"/>
        <v/>
      </c>
    </row>
    <row r="611" spans="1:1" x14ac:dyDescent="0.2">
      <c r="A611" s="1" t="str">
        <f t="shared" si="9"/>
        <v/>
      </c>
    </row>
    <row r="612" spans="1:1" x14ac:dyDescent="0.2">
      <c r="A612" s="1" t="str">
        <f t="shared" si="9"/>
        <v/>
      </c>
    </row>
    <row r="613" spans="1:1" x14ac:dyDescent="0.2">
      <c r="A613" s="1" t="str">
        <f t="shared" si="9"/>
        <v/>
      </c>
    </row>
    <row r="614" spans="1:1" x14ac:dyDescent="0.2">
      <c r="A614" s="1" t="str">
        <f t="shared" si="9"/>
        <v/>
      </c>
    </row>
    <row r="615" spans="1:1" x14ac:dyDescent="0.2">
      <c r="A615" s="1" t="str">
        <f t="shared" si="9"/>
        <v/>
      </c>
    </row>
    <row r="616" spans="1:1" x14ac:dyDescent="0.2">
      <c r="A616" s="1" t="str">
        <f t="shared" si="9"/>
        <v/>
      </c>
    </row>
    <row r="617" spans="1:1" x14ac:dyDescent="0.2">
      <c r="A617" s="1" t="str">
        <f t="shared" si="9"/>
        <v/>
      </c>
    </row>
    <row r="618" spans="1:1" x14ac:dyDescent="0.2">
      <c r="A618" s="1" t="str">
        <f t="shared" si="9"/>
        <v/>
      </c>
    </row>
    <row r="619" spans="1:1" x14ac:dyDescent="0.2">
      <c r="A619" s="1" t="str">
        <f t="shared" si="9"/>
        <v/>
      </c>
    </row>
    <row r="620" spans="1:1" x14ac:dyDescent="0.2">
      <c r="A620" s="1" t="str">
        <f t="shared" si="9"/>
        <v/>
      </c>
    </row>
    <row r="621" spans="1:1" x14ac:dyDescent="0.2">
      <c r="A621" s="1" t="str">
        <f t="shared" si="9"/>
        <v/>
      </c>
    </row>
    <row r="622" spans="1:1" x14ac:dyDescent="0.2">
      <c r="A622" s="1" t="str">
        <f t="shared" si="9"/>
        <v/>
      </c>
    </row>
    <row r="623" spans="1:1" x14ac:dyDescent="0.2">
      <c r="A623" s="1" t="str">
        <f t="shared" si="9"/>
        <v/>
      </c>
    </row>
    <row r="624" spans="1:1" x14ac:dyDescent="0.2">
      <c r="A624" s="1" t="str">
        <f t="shared" si="9"/>
        <v/>
      </c>
    </row>
    <row r="625" spans="1:1" x14ac:dyDescent="0.2">
      <c r="A625" s="1" t="str">
        <f t="shared" si="9"/>
        <v/>
      </c>
    </row>
    <row r="626" spans="1:1" x14ac:dyDescent="0.2">
      <c r="A626" s="1" t="str">
        <f t="shared" si="9"/>
        <v/>
      </c>
    </row>
    <row r="627" spans="1:1" x14ac:dyDescent="0.2">
      <c r="A627" s="1" t="str">
        <f t="shared" si="9"/>
        <v/>
      </c>
    </row>
    <row r="628" spans="1:1" x14ac:dyDescent="0.2">
      <c r="A628" s="1" t="str">
        <f t="shared" si="9"/>
        <v/>
      </c>
    </row>
    <row r="629" spans="1:1" x14ac:dyDescent="0.2">
      <c r="A629" s="1" t="str">
        <f t="shared" si="9"/>
        <v/>
      </c>
    </row>
    <row r="630" spans="1:1" x14ac:dyDescent="0.2">
      <c r="A630" s="1" t="str">
        <f t="shared" si="9"/>
        <v/>
      </c>
    </row>
    <row r="631" spans="1:1" x14ac:dyDescent="0.2">
      <c r="A631" s="1" t="str">
        <f t="shared" si="9"/>
        <v/>
      </c>
    </row>
    <row r="632" spans="1:1" x14ac:dyDescent="0.2">
      <c r="A632" s="1" t="str">
        <f t="shared" si="9"/>
        <v/>
      </c>
    </row>
    <row r="633" spans="1:1" x14ac:dyDescent="0.2">
      <c r="A633" s="1" t="str">
        <f t="shared" si="9"/>
        <v/>
      </c>
    </row>
    <row r="634" spans="1:1" x14ac:dyDescent="0.2">
      <c r="A634" s="1" t="str">
        <f t="shared" si="9"/>
        <v/>
      </c>
    </row>
    <row r="635" spans="1:1" x14ac:dyDescent="0.2">
      <c r="A635" s="1" t="str">
        <f t="shared" si="9"/>
        <v/>
      </c>
    </row>
    <row r="636" spans="1:1" x14ac:dyDescent="0.2">
      <c r="A636" s="1" t="str">
        <f t="shared" si="9"/>
        <v/>
      </c>
    </row>
    <row r="637" spans="1:1" x14ac:dyDescent="0.2">
      <c r="A637" s="1" t="str">
        <f t="shared" si="9"/>
        <v/>
      </c>
    </row>
    <row r="638" spans="1:1" x14ac:dyDescent="0.2">
      <c r="A638" s="1" t="str">
        <f t="shared" si="9"/>
        <v/>
      </c>
    </row>
    <row r="639" spans="1:1" x14ac:dyDescent="0.2">
      <c r="A639" s="1" t="str">
        <f t="shared" si="9"/>
        <v/>
      </c>
    </row>
    <row r="640" spans="1:1" x14ac:dyDescent="0.2">
      <c r="A640" s="1" t="str">
        <f t="shared" si="9"/>
        <v/>
      </c>
    </row>
    <row r="641" spans="1:1" x14ac:dyDescent="0.2">
      <c r="A641" s="1" t="str">
        <f t="shared" si="9"/>
        <v/>
      </c>
    </row>
    <row r="642" spans="1:1" x14ac:dyDescent="0.2">
      <c r="A642" s="1" t="str">
        <f t="shared" si="9"/>
        <v/>
      </c>
    </row>
    <row r="643" spans="1:1" x14ac:dyDescent="0.2">
      <c r="A643" s="1" t="str">
        <f t="shared" si="9"/>
        <v/>
      </c>
    </row>
    <row r="644" spans="1:1" x14ac:dyDescent="0.2">
      <c r="A644" s="1" t="str">
        <f t="shared" si="9"/>
        <v/>
      </c>
    </row>
    <row r="645" spans="1:1" x14ac:dyDescent="0.2">
      <c r="A645" s="1" t="str">
        <f t="shared" si="9"/>
        <v/>
      </c>
    </row>
    <row r="646" spans="1:1" x14ac:dyDescent="0.2">
      <c r="A646" s="1" t="str">
        <f t="shared" si="9"/>
        <v/>
      </c>
    </row>
    <row r="647" spans="1:1" x14ac:dyDescent="0.2">
      <c r="A647" s="1" t="str">
        <f t="shared" si="9"/>
        <v/>
      </c>
    </row>
    <row r="648" spans="1:1" x14ac:dyDescent="0.2">
      <c r="A648" s="1" t="str">
        <f t="shared" si="9"/>
        <v/>
      </c>
    </row>
    <row r="649" spans="1:1" x14ac:dyDescent="0.2">
      <c r="A649" s="1" t="str">
        <f t="shared" ref="A649:A712" si="10">IF($B649&lt;&gt;"",$A648+10,"")</f>
        <v/>
      </c>
    </row>
    <row r="650" spans="1:1" x14ac:dyDescent="0.2">
      <c r="A650" s="1" t="str">
        <f t="shared" si="10"/>
        <v/>
      </c>
    </row>
    <row r="651" spans="1:1" x14ac:dyDescent="0.2">
      <c r="A651" s="1" t="str">
        <f t="shared" si="10"/>
        <v/>
      </c>
    </row>
    <row r="652" spans="1:1" x14ac:dyDescent="0.2">
      <c r="A652" s="1" t="str">
        <f t="shared" si="10"/>
        <v/>
      </c>
    </row>
    <row r="653" spans="1:1" x14ac:dyDescent="0.2">
      <c r="A653" s="1" t="str">
        <f t="shared" si="10"/>
        <v/>
      </c>
    </row>
    <row r="654" spans="1:1" x14ac:dyDescent="0.2">
      <c r="A654" s="1" t="str">
        <f t="shared" si="10"/>
        <v/>
      </c>
    </row>
    <row r="655" spans="1:1" x14ac:dyDescent="0.2">
      <c r="A655" s="1" t="str">
        <f t="shared" si="10"/>
        <v/>
      </c>
    </row>
    <row r="656" spans="1:1" x14ac:dyDescent="0.2">
      <c r="A656" s="1" t="str">
        <f t="shared" si="10"/>
        <v/>
      </c>
    </row>
    <row r="657" spans="1:1" x14ac:dyDescent="0.2">
      <c r="A657" s="1" t="str">
        <f t="shared" si="10"/>
        <v/>
      </c>
    </row>
    <row r="658" spans="1:1" x14ac:dyDescent="0.2">
      <c r="A658" s="1" t="str">
        <f t="shared" si="10"/>
        <v/>
      </c>
    </row>
    <row r="659" spans="1:1" x14ac:dyDescent="0.2">
      <c r="A659" s="1" t="str">
        <f t="shared" si="10"/>
        <v/>
      </c>
    </row>
    <row r="660" spans="1:1" x14ac:dyDescent="0.2">
      <c r="A660" s="1" t="str">
        <f t="shared" si="10"/>
        <v/>
      </c>
    </row>
    <row r="661" spans="1:1" x14ac:dyDescent="0.2">
      <c r="A661" s="1" t="str">
        <f t="shared" si="10"/>
        <v/>
      </c>
    </row>
    <row r="662" spans="1:1" x14ac:dyDescent="0.2">
      <c r="A662" s="1" t="str">
        <f t="shared" si="10"/>
        <v/>
      </c>
    </row>
    <row r="663" spans="1:1" x14ac:dyDescent="0.2">
      <c r="A663" s="1" t="str">
        <f t="shared" si="10"/>
        <v/>
      </c>
    </row>
    <row r="664" spans="1:1" x14ac:dyDescent="0.2">
      <c r="A664" s="1" t="str">
        <f t="shared" si="10"/>
        <v/>
      </c>
    </row>
    <row r="665" spans="1:1" x14ac:dyDescent="0.2">
      <c r="A665" s="1" t="str">
        <f t="shared" si="10"/>
        <v/>
      </c>
    </row>
    <row r="666" spans="1:1" x14ac:dyDescent="0.2">
      <c r="A666" s="1" t="str">
        <f t="shared" si="10"/>
        <v/>
      </c>
    </row>
    <row r="667" spans="1:1" x14ac:dyDescent="0.2">
      <c r="A667" s="1" t="str">
        <f t="shared" si="10"/>
        <v/>
      </c>
    </row>
    <row r="668" spans="1:1" x14ac:dyDescent="0.2">
      <c r="A668" s="1" t="str">
        <f t="shared" si="10"/>
        <v/>
      </c>
    </row>
    <row r="669" spans="1:1" x14ac:dyDescent="0.2">
      <c r="A669" s="1" t="str">
        <f t="shared" si="10"/>
        <v/>
      </c>
    </row>
    <row r="670" spans="1:1" x14ac:dyDescent="0.2">
      <c r="A670" s="1" t="str">
        <f t="shared" si="10"/>
        <v/>
      </c>
    </row>
    <row r="671" spans="1:1" x14ac:dyDescent="0.2">
      <c r="A671" s="1" t="str">
        <f t="shared" si="10"/>
        <v/>
      </c>
    </row>
    <row r="672" spans="1:1" x14ac:dyDescent="0.2">
      <c r="A672" s="1" t="str">
        <f t="shared" si="10"/>
        <v/>
      </c>
    </row>
    <row r="673" spans="1:1" x14ac:dyDescent="0.2">
      <c r="A673" s="1" t="str">
        <f t="shared" si="10"/>
        <v/>
      </c>
    </row>
    <row r="674" spans="1:1" x14ac:dyDescent="0.2">
      <c r="A674" s="1" t="str">
        <f t="shared" si="10"/>
        <v/>
      </c>
    </row>
    <row r="675" spans="1:1" x14ac:dyDescent="0.2">
      <c r="A675" s="1" t="str">
        <f t="shared" si="10"/>
        <v/>
      </c>
    </row>
    <row r="676" spans="1:1" x14ac:dyDescent="0.2">
      <c r="A676" s="1" t="str">
        <f t="shared" si="10"/>
        <v/>
      </c>
    </row>
    <row r="677" spans="1:1" x14ac:dyDescent="0.2">
      <c r="A677" s="1" t="str">
        <f t="shared" si="10"/>
        <v/>
      </c>
    </row>
    <row r="678" spans="1:1" x14ac:dyDescent="0.2">
      <c r="A678" s="1" t="str">
        <f t="shared" si="10"/>
        <v/>
      </c>
    </row>
    <row r="679" spans="1:1" x14ac:dyDescent="0.2">
      <c r="A679" s="1" t="str">
        <f t="shared" si="10"/>
        <v/>
      </c>
    </row>
    <row r="680" spans="1:1" x14ac:dyDescent="0.2">
      <c r="A680" s="1" t="str">
        <f t="shared" si="10"/>
        <v/>
      </c>
    </row>
    <row r="681" spans="1:1" x14ac:dyDescent="0.2">
      <c r="A681" s="1" t="str">
        <f t="shared" si="10"/>
        <v/>
      </c>
    </row>
    <row r="682" spans="1:1" x14ac:dyDescent="0.2">
      <c r="A682" s="1" t="str">
        <f t="shared" si="10"/>
        <v/>
      </c>
    </row>
    <row r="683" spans="1:1" x14ac:dyDescent="0.2">
      <c r="A683" s="1" t="str">
        <f t="shared" si="10"/>
        <v/>
      </c>
    </row>
    <row r="684" spans="1:1" x14ac:dyDescent="0.2">
      <c r="A684" s="1" t="str">
        <f t="shared" si="10"/>
        <v/>
      </c>
    </row>
    <row r="685" spans="1:1" x14ac:dyDescent="0.2">
      <c r="A685" s="1" t="str">
        <f t="shared" si="10"/>
        <v/>
      </c>
    </row>
    <row r="686" spans="1:1" x14ac:dyDescent="0.2">
      <c r="A686" s="1" t="str">
        <f t="shared" si="10"/>
        <v/>
      </c>
    </row>
    <row r="687" spans="1:1" x14ac:dyDescent="0.2">
      <c r="A687" s="1" t="str">
        <f t="shared" si="10"/>
        <v/>
      </c>
    </row>
    <row r="688" spans="1:1" x14ac:dyDescent="0.2">
      <c r="A688" s="1" t="str">
        <f t="shared" si="10"/>
        <v/>
      </c>
    </row>
    <row r="689" spans="1:1" x14ac:dyDescent="0.2">
      <c r="A689" s="1" t="str">
        <f t="shared" si="10"/>
        <v/>
      </c>
    </row>
    <row r="690" spans="1:1" x14ac:dyDescent="0.2">
      <c r="A690" s="1" t="str">
        <f t="shared" si="10"/>
        <v/>
      </c>
    </row>
    <row r="691" spans="1:1" x14ac:dyDescent="0.2">
      <c r="A691" s="1" t="str">
        <f t="shared" si="10"/>
        <v/>
      </c>
    </row>
    <row r="692" spans="1:1" x14ac:dyDescent="0.2">
      <c r="A692" s="1" t="str">
        <f t="shared" si="10"/>
        <v/>
      </c>
    </row>
    <row r="693" spans="1:1" x14ac:dyDescent="0.2">
      <c r="A693" s="1" t="str">
        <f t="shared" si="10"/>
        <v/>
      </c>
    </row>
    <row r="694" spans="1:1" x14ac:dyDescent="0.2">
      <c r="A694" s="1" t="str">
        <f t="shared" si="10"/>
        <v/>
      </c>
    </row>
    <row r="695" spans="1:1" x14ac:dyDescent="0.2">
      <c r="A695" s="1" t="str">
        <f t="shared" si="10"/>
        <v/>
      </c>
    </row>
    <row r="696" spans="1:1" x14ac:dyDescent="0.2">
      <c r="A696" s="1" t="str">
        <f t="shared" si="10"/>
        <v/>
      </c>
    </row>
    <row r="697" spans="1:1" x14ac:dyDescent="0.2">
      <c r="A697" s="1" t="str">
        <f t="shared" si="10"/>
        <v/>
      </c>
    </row>
    <row r="698" spans="1:1" x14ac:dyDescent="0.2">
      <c r="A698" s="1" t="str">
        <f t="shared" si="10"/>
        <v/>
      </c>
    </row>
    <row r="699" spans="1:1" x14ac:dyDescent="0.2">
      <c r="A699" s="1" t="str">
        <f t="shared" si="10"/>
        <v/>
      </c>
    </row>
    <row r="700" spans="1:1" x14ac:dyDescent="0.2">
      <c r="A700" s="1" t="str">
        <f t="shared" si="10"/>
        <v/>
      </c>
    </row>
    <row r="701" spans="1:1" x14ac:dyDescent="0.2">
      <c r="A701" s="1" t="str">
        <f t="shared" si="10"/>
        <v/>
      </c>
    </row>
    <row r="702" spans="1:1" x14ac:dyDescent="0.2">
      <c r="A702" s="1" t="str">
        <f t="shared" si="10"/>
        <v/>
      </c>
    </row>
    <row r="703" spans="1:1" x14ac:dyDescent="0.2">
      <c r="A703" s="1" t="str">
        <f t="shared" si="10"/>
        <v/>
      </c>
    </row>
    <row r="704" spans="1:1" x14ac:dyDescent="0.2">
      <c r="A704" s="1" t="str">
        <f t="shared" si="10"/>
        <v/>
      </c>
    </row>
    <row r="705" spans="1:1" x14ac:dyDescent="0.2">
      <c r="A705" s="1" t="str">
        <f t="shared" si="10"/>
        <v/>
      </c>
    </row>
    <row r="706" spans="1:1" x14ac:dyDescent="0.2">
      <c r="A706" s="1" t="str">
        <f t="shared" si="10"/>
        <v/>
      </c>
    </row>
    <row r="707" spans="1:1" x14ac:dyDescent="0.2">
      <c r="A707" s="1" t="str">
        <f t="shared" si="10"/>
        <v/>
      </c>
    </row>
    <row r="708" spans="1:1" x14ac:dyDescent="0.2">
      <c r="A708" s="1" t="str">
        <f t="shared" si="10"/>
        <v/>
      </c>
    </row>
    <row r="709" spans="1:1" x14ac:dyDescent="0.2">
      <c r="A709" s="1" t="str">
        <f t="shared" si="10"/>
        <v/>
      </c>
    </row>
    <row r="710" spans="1:1" x14ac:dyDescent="0.2">
      <c r="A710" s="1" t="str">
        <f t="shared" si="10"/>
        <v/>
      </c>
    </row>
    <row r="711" spans="1:1" x14ac:dyDescent="0.2">
      <c r="A711" s="1" t="str">
        <f t="shared" si="10"/>
        <v/>
      </c>
    </row>
    <row r="712" spans="1:1" x14ac:dyDescent="0.2">
      <c r="A712" s="1" t="str">
        <f t="shared" si="10"/>
        <v/>
      </c>
    </row>
    <row r="713" spans="1:1" x14ac:dyDescent="0.2">
      <c r="A713" s="1" t="str">
        <f t="shared" ref="A713:A776" si="11">IF($B713&lt;&gt;"",$A712+10,"")</f>
        <v/>
      </c>
    </row>
    <row r="714" spans="1:1" x14ac:dyDescent="0.2">
      <c r="A714" s="1" t="str">
        <f t="shared" si="11"/>
        <v/>
      </c>
    </row>
    <row r="715" spans="1:1" x14ac:dyDescent="0.2">
      <c r="A715" s="1" t="str">
        <f t="shared" si="11"/>
        <v/>
      </c>
    </row>
    <row r="716" spans="1:1" x14ac:dyDescent="0.2">
      <c r="A716" s="1" t="str">
        <f t="shared" si="11"/>
        <v/>
      </c>
    </row>
    <row r="717" spans="1:1" x14ac:dyDescent="0.2">
      <c r="A717" s="1" t="str">
        <f t="shared" si="11"/>
        <v/>
      </c>
    </row>
    <row r="718" spans="1:1" x14ac:dyDescent="0.2">
      <c r="A718" s="1" t="str">
        <f t="shared" si="11"/>
        <v/>
      </c>
    </row>
    <row r="719" spans="1:1" x14ac:dyDescent="0.2">
      <c r="A719" s="1" t="str">
        <f t="shared" si="11"/>
        <v/>
      </c>
    </row>
    <row r="720" spans="1:1" x14ac:dyDescent="0.2">
      <c r="A720" s="1" t="str">
        <f t="shared" si="11"/>
        <v/>
      </c>
    </row>
    <row r="721" spans="1:1" x14ac:dyDescent="0.2">
      <c r="A721" s="1" t="str">
        <f t="shared" si="11"/>
        <v/>
      </c>
    </row>
    <row r="722" spans="1:1" x14ac:dyDescent="0.2">
      <c r="A722" s="1" t="str">
        <f t="shared" si="11"/>
        <v/>
      </c>
    </row>
    <row r="723" spans="1:1" x14ac:dyDescent="0.2">
      <c r="A723" s="1" t="str">
        <f t="shared" si="11"/>
        <v/>
      </c>
    </row>
    <row r="724" spans="1:1" x14ac:dyDescent="0.2">
      <c r="A724" s="1" t="str">
        <f t="shared" si="11"/>
        <v/>
      </c>
    </row>
    <row r="725" spans="1:1" x14ac:dyDescent="0.2">
      <c r="A725" s="1" t="str">
        <f t="shared" si="11"/>
        <v/>
      </c>
    </row>
    <row r="726" spans="1:1" x14ac:dyDescent="0.2">
      <c r="A726" s="1" t="str">
        <f t="shared" si="11"/>
        <v/>
      </c>
    </row>
    <row r="727" spans="1:1" x14ac:dyDescent="0.2">
      <c r="A727" s="1" t="str">
        <f t="shared" si="11"/>
        <v/>
      </c>
    </row>
    <row r="728" spans="1:1" x14ac:dyDescent="0.2">
      <c r="A728" s="1" t="str">
        <f t="shared" si="11"/>
        <v/>
      </c>
    </row>
    <row r="729" spans="1:1" x14ac:dyDescent="0.2">
      <c r="A729" s="1" t="str">
        <f t="shared" si="11"/>
        <v/>
      </c>
    </row>
    <row r="730" spans="1:1" x14ac:dyDescent="0.2">
      <c r="A730" s="1" t="str">
        <f t="shared" si="11"/>
        <v/>
      </c>
    </row>
    <row r="731" spans="1:1" x14ac:dyDescent="0.2">
      <c r="A731" s="1" t="str">
        <f t="shared" si="11"/>
        <v/>
      </c>
    </row>
    <row r="732" spans="1:1" x14ac:dyDescent="0.2">
      <c r="A732" s="1" t="str">
        <f t="shared" si="11"/>
        <v/>
      </c>
    </row>
    <row r="733" spans="1:1" x14ac:dyDescent="0.2">
      <c r="A733" s="1" t="str">
        <f t="shared" si="11"/>
        <v/>
      </c>
    </row>
    <row r="734" spans="1:1" x14ac:dyDescent="0.2">
      <c r="A734" s="1" t="str">
        <f t="shared" si="11"/>
        <v/>
      </c>
    </row>
    <row r="735" spans="1:1" x14ac:dyDescent="0.2">
      <c r="A735" s="1" t="str">
        <f t="shared" si="11"/>
        <v/>
      </c>
    </row>
    <row r="736" spans="1:1" x14ac:dyDescent="0.2">
      <c r="A736" s="1" t="str">
        <f t="shared" si="11"/>
        <v/>
      </c>
    </row>
    <row r="737" spans="1:1" x14ac:dyDescent="0.2">
      <c r="A737" s="1" t="str">
        <f t="shared" si="11"/>
        <v/>
      </c>
    </row>
    <row r="738" spans="1:1" x14ac:dyDescent="0.2">
      <c r="A738" s="1" t="str">
        <f t="shared" si="11"/>
        <v/>
      </c>
    </row>
    <row r="739" spans="1:1" x14ac:dyDescent="0.2">
      <c r="A739" s="1" t="str">
        <f t="shared" si="11"/>
        <v/>
      </c>
    </row>
    <row r="740" spans="1:1" x14ac:dyDescent="0.2">
      <c r="A740" s="1" t="str">
        <f t="shared" si="11"/>
        <v/>
      </c>
    </row>
    <row r="741" spans="1:1" x14ac:dyDescent="0.2">
      <c r="A741" s="1" t="str">
        <f t="shared" si="11"/>
        <v/>
      </c>
    </row>
    <row r="742" spans="1:1" x14ac:dyDescent="0.2">
      <c r="A742" s="1" t="str">
        <f t="shared" si="11"/>
        <v/>
      </c>
    </row>
    <row r="743" spans="1:1" x14ac:dyDescent="0.2">
      <c r="A743" s="1" t="str">
        <f t="shared" si="11"/>
        <v/>
      </c>
    </row>
    <row r="744" spans="1:1" x14ac:dyDescent="0.2">
      <c r="A744" s="1" t="str">
        <f t="shared" si="11"/>
        <v/>
      </c>
    </row>
    <row r="745" spans="1:1" x14ac:dyDescent="0.2">
      <c r="A745" s="1" t="str">
        <f t="shared" si="11"/>
        <v/>
      </c>
    </row>
    <row r="746" spans="1:1" x14ac:dyDescent="0.2">
      <c r="A746" s="1" t="str">
        <f t="shared" si="11"/>
        <v/>
      </c>
    </row>
    <row r="747" spans="1:1" x14ac:dyDescent="0.2">
      <c r="A747" s="1" t="str">
        <f t="shared" si="11"/>
        <v/>
      </c>
    </row>
    <row r="748" spans="1:1" x14ac:dyDescent="0.2">
      <c r="A748" s="1" t="str">
        <f t="shared" si="11"/>
        <v/>
      </c>
    </row>
    <row r="749" spans="1:1" x14ac:dyDescent="0.2">
      <c r="A749" s="1" t="str">
        <f t="shared" si="11"/>
        <v/>
      </c>
    </row>
    <row r="750" spans="1:1" x14ac:dyDescent="0.2">
      <c r="A750" s="1" t="str">
        <f t="shared" si="11"/>
        <v/>
      </c>
    </row>
    <row r="751" spans="1:1" x14ac:dyDescent="0.2">
      <c r="A751" s="1" t="str">
        <f t="shared" si="11"/>
        <v/>
      </c>
    </row>
    <row r="752" spans="1:1" x14ac:dyDescent="0.2">
      <c r="A752" s="1" t="str">
        <f t="shared" si="11"/>
        <v/>
      </c>
    </row>
    <row r="753" spans="1:1" x14ac:dyDescent="0.2">
      <c r="A753" s="1" t="str">
        <f t="shared" si="11"/>
        <v/>
      </c>
    </row>
    <row r="754" spans="1:1" x14ac:dyDescent="0.2">
      <c r="A754" s="1" t="str">
        <f t="shared" si="11"/>
        <v/>
      </c>
    </row>
    <row r="755" spans="1:1" x14ac:dyDescent="0.2">
      <c r="A755" s="1" t="str">
        <f t="shared" si="11"/>
        <v/>
      </c>
    </row>
    <row r="756" spans="1:1" x14ac:dyDescent="0.2">
      <c r="A756" s="1" t="str">
        <f t="shared" si="11"/>
        <v/>
      </c>
    </row>
    <row r="757" spans="1:1" x14ac:dyDescent="0.2">
      <c r="A757" s="1" t="str">
        <f t="shared" si="11"/>
        <v/>
      </c>
    </row>
    <row r="758" spans="1:1" x14ac:dyDescent="0.2">
      <c r="A758" s="1" t="str">
        <f t="shared" si="11"/>
        <v/>
      </c>
    </row>
    <row r="759" spans="1:1" x14ac:dyDescent="0.2">
      <c r="A759" s="1" t="str">
        <f t="shared" si="11"/>
        <v/>
      </c>
    </row>
    <row r="760" spans="1:1" x14ac:dyDescent="0.2">
      <c r="A760" s="1" t="str">
        <f t="shared" si="11"/>
        <v/>
      </c>
    </row>
    <row r="761" spans="1:1" x14ac:dyDescent="0.2">
      <c r="A761" s="1" t="str">
        <f t="shared" si="11"/>
        <v/>
      </c>
    </row>
    <row r="762" spans="1:1" x14ac:dyDescent="0.2">
      <c r="A762" s="1" t="str">
        <f t="shared" si="11"/>
        <v/>
      </c>
    </row>
    <row r="763" spans="1:1" x14ac:dyDescent="0.2">
      <c r="A763" s="1" t="str">
        <f t="shared" si="11"/>
        <v/>
      </c>
    </row>
    <row r="764" spans="1:1" x14ac:dyDescent="0.2">
      <c r="A764" s="1" t="str">
        <f t="shared" si="11"/>
        <v/>
      </c>
    </row>
    <row r="765" spans="1:1" x14ac:dyDescent="0.2">
      <c r="A765" s="1" t="str">
        <f t="shared" si="11"/>
        <v/>
      </c>
    </row>
    <row r="766" spans="1:1" x14ac:dyDescent="0.2">
      <c r="A766" s="1" t="str">
        <f t="shared" si="11"/>
        <v/>
      </c>
    </row>
    <row r="767" spans="1:1" x14ac:dyDescent="0.2">
      <c r="A767" s="1" t="str">
        <f t="shared" si="11"/>
        <v/>
      </c>
    </row>
    <row r="768" spans="1:1" x14ac:dyDescent="0.2">
      <c r="A768" s="1" t="str">
        <f t="shared" si="11"/>
        <v/>
      </c>
    </row>
    <row r="769" spans="1:1" x14ac:dyDescent="0.2">
      <c r="A769" s="1" t="str">
        <f t="shared" si="11"/>
        <v/>
      </c>
    </row>
    <row r="770" spans="1:1" x14ac:dyDescent="0.2">
      <c r="A770" s="1" t="str">
        <f t="shared" si="11"/>
        <v/>
      </c>
    </row>
    <row r="771" spans="1:1" x14ac:dyDescent="0.2">
      <c r="A771" s="1" t="str">
        <f t="shared" si="11"/>
        <v/>
      </c>
    </row>
    <row r="772" spans="1:1" x14ac:dyDescent="0.2">
      <c r="A772" s="1" t="str">
        <f t="shared" si="11"/>
        <v/>
      </c>
    </row>
    <row r="773" spans="1:1" x14ac:dyDescent="0.2">
      <c r="A773" s="1" t="str">
        <f t="shared" si="11"/>
        <v/>
      </c>
    </row>
    <row r="774" spans="1:1" x14ac:dyDescent="0.2">
      <c r="A774" s="1" t="str">
        <f t="shared" si="11"/>
        <v/>
      </c>
    </row>
    <row r="775" spans="1:1" x14ac:dyDescent="0.2">
      <c r="A775" s="1" t="str">
        <f t="shared" si="11"/>
        <v/>
      </c>
    </row>
    <row r="776" spans="1:1" x14ac:dyDescent="0.2">
      <c r="A776" s="1" t="str">
        <f t="shared" si="11"/>
        <v/>
      </c>
    </row>
    <row r="777" spans="1:1" x14ac:dyDescent="0.2">
      <c r="A777" s="1" t="str">
        <f t="shared" ref="A777:A840" si="12">IF($B777&lt;&gt;"",$A776+10,"")</f>
        <v/>
      </c>
    </row>
    <row r="778" spans="1:1" x14ac:dyDescent="0.2">
      <c r="A778" s="1" t="str">
        <f t="shared" si="12"/>
        <v/>
      </c>
    </row>
    <row r="779" spans="1:1" x14ac:dyDescent="0.2">
      <c r="A779" s="1" t="str">
        <f t="shared" si="12"/>
        <v/>
      </c>
    </row>
    <row r="780" spans="1:1" x14ac:dyDescent="0.2">
      <c r="A780" s="1" t="str">
        <f t="shared" si="12"/>
        <v/>
      </c>
    </row>
    <row r="781" spans="1:1" x14ac:dyDescent="0.2">
      <c r="A781" s="1" t="str">
        <f t="shared" si="12"/>
        <v/>
      </c>
    </row>
    <row r="782" spans="1:1" x14ac:dyDescent="0.2">
      <c r="A782" s="1" t="str">
        <f t="shared" si="12"/>
        <v/>
      </c>
    </row>
    <row r="783" spans="1:1" x14ac:dyDescent="0.2">
      <c r="A783" s="1" t="str">
        <f t="shared" si="12"/>
        <v/>
      </c>
    </row>
    <row r="784" spans="1:1" x14ac:dyDescent="0.2">
      <c r="A784" s="1" t="str">
        <f t="shared" si="12"/>
        <v/>
      </c>
    </row>
    <row r="785" spans="1:1" x14ac:dyDescent="0.2">
      <c r="A785" s="1" t="str">
        <f t="shared" si="12"/>
        <v/>
      </c>
    </row>
    <row r="786" spans="1:1" x14ac:dyDescent="0.2">
      <c r="A786" s="1" t="str">
        <f t="shared" si="12"/>
        <v/>
      </c>
    </row>
    <row r="787" spans="1:1" x14ac:dyDescent="0.2">
      <c r="A787" s="1" t="str">
        <f t="shared" si="12"/>
        <v/>
      </c>
    </row>
    <row r="788" spans="1:1" x14ac:dyDescent="0.2">
      <c r="A788" s="1" t="str">
        <f t="shared" si="12"/>
        <v/>
      </c>
    </row>
    <row r="789" spans="1:1" x14ac:dyDescent="0.2">
      <c r="A789" s="1" t="str">
        <f t="shared" si="12"/>
        <v/>
      </c>
    </row>
    <row r="790" spans="1:1" x14ac:dyDescent="0.2">
      <c r="A790" s="1" t="str">
        <f t="shared" si="12"/>
        <v/>
      </c>
    </row>
    <row r="791" spans="1:1" x14ac:dyDescent="0.2">
      <c r="A791" s="1" t="str">
        <f t="shared" si="12"/>
        <v/>
      </c>
    </row>
    <row r="792" spans="1:1" x14ac:dyDescent="0.2">
      <c r="A792" s="1" t="str">
        <f t="shared" si="12"/>
        <v/>
      </c>
    </row>
    <row r="793" spans="1:1" x14ac:dyDescent="0.2">
      <c r="A793" s="1" t="str">
        <f t="shared" si="12"/>
        <v/>
      </c>
    </row>
    <row r="794" spans="1:1" x14ac:dyDescent="0.2">
      <c r="A794" s="1" t="str">
        <f t="shared" si="12"/>
        <v/>
      </c>
    </row>
    <row r="795" spans="1:1" x14ac:dyDescent="0.2">
      <c r="A795" s="1" t="str">
        <f t="shared" si="12"/>
        <v/>
      </c>
    </row>
    <row r="796" spans="1:1" x14ac:dyDescent="0.2">
      <c r="A796" s="1" t="str">
        <f t="shared" si="12"/>
        <v/>
      </c>
    </row>
    <row r="797" spans="1:1" x14ac:dyDescent="0.2">
      <c r="A797" s="1" t="str">
        <f t="shared" si="12"/>
        <v/>
      </c>
    </row>
    <row r="798" spans="1:1" x14ac:dyDescent="0.2">
      <c r="A798" s="1" t="str">
        <f t="shared" si="12"/>
        <v/>
      </c>
    </row>
    <row r="799" spans="1:1" x14ac:dyDescent="0.2">
      <c r="A799" s="1" t="str">
        <f t="shared" si="12"/>
        <v/>
      </c>
    </row>
    <row r="800" spans="1:1" x14ac:dyDescent="0.2">
      <c r="A800" s="1" t="str">
        <f t="shared" si="12"/>
        <v/>
      </c>
    </row>
    <row r="801" spans="1:1" x14ac:dyDescent="0.2">
      <c r="A801" s="1" t="str">
        <f t="shared" si="12"/>
        <v/>
      </c>
    </row>
    <row r="802" spans="1:1" x14ac:dyDescent="0.2">
      <c r="A802" s="1" t="str">
        <f t="shared" si="12"/>
        <v/>
      </c>
    </row>
    <row r="803" spans="1:1" x14ac:dyDescent="0.2">
      <c r="A803" s="1" t="str">
        <f t="shared" si="12"/>
        <v/>
      </c>
    </row>
    <row r="804" spans="1:1" x14ac:dyDescent="0.2">
      <c r="A804" s="1" t="str">
        <f t="shared" si="12"/>
        <v/>
      </c>
    </row>
    <row r="805" spans="1:1" x14ac:dyDescent="0.2">
      <c r="A805" s="1" t="str">
        <f t="shared" si="12"/>
        <v/>
      </c>
    </row>
    <row r="806" spans="1:1" x14ac:dyDescent="0.2">
      <c r="A806" s="1" t="str">
        <f t="shared" si="12"/>
        <v/>
      </c>
    </row>
    <row r="807" spans="1:1" x14ac:dyDescent="0.2">
      <c r="A807" s="1" t="str">
        <f t="shared" si="12"/>
        <v/>
      </c>
    </row>
    <row r="808" spans="1:1" x14ac:dyDescent="0.2">
      <c r="A808" s="1" t="str">
        <f t="shared" si="12"/>
        <v/>
      </c>
    </row>
    <row r="809" spans="1:1" x14ac:dyDescent="0.2">
      <c r="A809" s="1" t="str">
        <f t="shared" si="12"/>
        <v/>
      </c>
    </row>
    <row r="810" spans="1:1" x14ac:dyDescent="0.2">
      <c r="A810" s="1" t="str">
        <f t="shared" si="12"/>
        <v/>
      </c>
    </row>
    <row r="811" spans="1:1" x14ac:dyDescent="0.2">
      <c r="A811" s="1" t="str">
        <f t="shared" si="12"/>
        <v/>
      </c>
    </row>
    <row r="812" spans="1:1" x14ac:dyDescent="0.2">
      <c r="A812" s="1" t="str">
        <f t="shared" si="12"/>
        <v/>
      </c>
    </row>
    <row r="813" spans="1:1" x14ac:dyDescent="0.2">
      <c r="A813" s="1" t="str">
        <f t="shared" si="12"/>
        <v/>
      </c>
    </row>
    <row r="814" spans="1:1" x14ac:dyDescent="0.2">
      <c r="A814" s="1" t="str">
        <f t="shared" si="12"/>
        <v/>
      </c>
    </row>
    <row r="815" spans="1:1" x14ac:dyDescent="0.2">
      <c r="A815" s="1" t="str">
        <f t="shared" si="12"/>
        <v/>
      </c>
    </row>
    <row r="816" spans="1:1" x14ac:dyDescent="0.2">
      <c r="A816" s="1" t="str">
        <f t="shared" si="12"/>
        <v/>
      </c>
    </row>
    <row r="817" spans="1:1" x14ac:dyDescent="0.2">
      <c r="A817" s="1" t="str">
        <f t="shared" si="12"/>
        <v/>
      </c>
    </row>
    <row r="818" spans="1:1" x14ac:dyDescent="0.2">
      <c r="A818" s="1" t="str">
        <f t="shared" si="12"/>
        <v/>
      </c>
    </row>
    <row r="819" spans="1:1" x14ac:dyDescent="0.2">
      <c r="A819" s="1" t="str">
        <f t="shared" si="12"/>
        <v/>
      </c>
    </row>
    <row r="820" spans="1:1" x14ac:dyDescent="0.2">
      <c r="A820" s="1" t="str">
        <f t="shared" si="12"/>
        <v/>
      </c>
    </row>
    <row r="821" spans="1:1" x14ac:dyDescent="0.2">
      <c r="A821" s="1" t="str">
        <f t="shared" si="12"/>
        <v/>
      </c>
    </row>
    <row r="822" spans="1:1" x14ac:dyDescent="0.2">
      <c r="A822" s="1" t="str">
        <f t="shared" si="12"/>
        <v/>
      </c>
    </row>
    <row r="823" spans="1:1" x14ac:dyDescent="0.2">
      <c r="A823" s="1" t="str">
        <f t="shared" si="12"/>
        <v/>
      </c>
    </row>
    <row r="824" spans="1:1" x14ac:dyDescent="0.2">
      <c r="A824" s="1" t="str">
        <f t="shared" si="12"/>
        <v/>
      </c>
    </row>
    <row r="825" spans="1:1" x14ac:dyDescent="0.2">
      <c r="A825" s="1" t="str">
        <f t="shared" si="12"/>
        <v/>
      </c>
    </row>
    <row r="826" spans="1:1" x14ac:dyDescent="0.2">
      <c r="A826" s="1" t="str">
        <f t="shared" si="12"/>
        <v/>
      </c>
    </row>
    <row r="827" spans="1:1" x14ac:dyDescent="0.2">
      <c r="A827" s="1" t="str">
        <f t="shared" si="12"/>
        <v/>
      </c>
    </row>
    <row r="828" spans="1:1" x14ac:dyDescent="0.2">
      <c r="A828" s="1" t="str">
        <f t="shared" si="12"/>
        <v/>
      </c>
    </row>
    <row r="829" spans="1:1" x14ac:dyDescent="0.2">
      <c r="A829" s="1" t="str">
        <f t="shared" si="12"/>
        <v/>
      </c>
    </row>
    <row r="830" spans="1:1" x14ac:dyDescent="0.2">
      <c r="A830" s="1" t="str">
        <f t="shared" si="12"/>
        <v/>
      </c>
    </row>
    <row r="831" spans="1:1" x14ac:dyDescent="0.2">
      <c r="A831" s="1" t="str">
        <f t="shared" si="12"/>
        <v/>
      </c>
    </row>
    <row r="832" spans="1:1" x14ac:dyDescent="0.2">
      <c r="A832" s="1" t="str">
        <f t="shared" si="12"/>
        <v/>
      </c>
    </row>
    <row r="833" spans="1:1" x14ac:dyDescent="0.2">
      <c r="A833" s="1" t="str">
        <f t="shared" si="12"/>
        <v/>
      </c>
    </row>
    <row r="834" spans="1:1" x14ac:dyDescent="0.2">
      <c r="A834" s="1" t="str">
        <f t="shared" si="12"/>
        <v/>
      </c>
    </row>
    <row r="835" spans="1:1" x14ac:dyDescent="0.2">
      <c r="A835" s="1" t="str">
        <f t="shared" si="12"/>
        <v/>
      </c>
    </row>
    <row r="836" spans="1:1" x14ac:dyDescent="0.2">
      <c r="A836" s="1" t="str">
        <f t="shared" si="12"/>
        <v/>
      </c>
    </row>
    <row r="837" spans="1:1" x14ac:dyDescent="0.2">
      <c r="A837" s="1" t="str">
        <f t="shared" si="12"/>
        <v/>
      </c>
    </row>
    <row r="838" spans="1:1" x14ac:dyDescent="0.2">
      <c r="A838" s="1" t="str">
        <f t="shared" si="12"/>
        <v/>
      </c>
    </row>
    <row r="839" spans="1:1" x14ac:dyDescent="0.2">
      <c r="A839" s="1" t="str">
        <f t="shared" si="12"/>
        <v/>
      </c>
    </row>
    <row r="840" spans="1:1" x14ac:dyDescent="0.2">
      <c r="A840" s="1" t="str">
        <f t="shared" si="12"/>
        <v/>
      </c>
    </row>
    <row r="841" spans="1:1" x14ac:dyDescent="0.2">
      <c r="A841" s="1" t="str">
        <f t="shared" ref="A841:A904" si="13">IF($B841&lt;&gt;"",$A840+10,"")</f>
        <v/>
      </c>
    </row>
    <row r="842" spans="1:1" x14ac:dyDescent="0.2">
      <c r="A842" s="1" t="str">
        <f t="shared" si="13"/>
        <v/>
      </c>
    </row>
    <row r="843" spans="1:1" x14ac:dyDescent="0.2">
      <c r="A843" s="1" t="str">
        <f t="shared" si="13"/>
        <v/>
      </c>
    </row>
    <row r="844" spans="1:1" x14ac:dyDescent="0.2">
      <c r="A844" s="1" t="str">
        <f t="shared" si="13"/>
        <v/>
      </c>
    </row>
    <row r="845" spans="1:1" x14ac:dyDescent="0.2">
      <c r="A845" s="1" t="str">
        <f t="shared" si="13"/>
        <v/>
      </c>
    </row>
    <row r="846" spans="1:1" x14ac:dyDescent="0.2">
      <c r="A846" s="1" t="str">
        <f t="shared" si="13"/>
        <v/>
      </c>
    </row>
    <row r="847" spans="1:1" x14ac:dyDescent="0.2">
      <c r="A847" s="1" t="str">
        <f t="shared" si="13"/>
        <v/>
      </c>
    </row>
    <row r="848" spans="1:1" x14ac:dyDescent="0.2">
      <c r="A848" s="1" t="str">
        <f t="shared" si="13"/>
        <v/>
      </c>
    </row>
    <row r="849" spans="1:1" x14ac:dyDescent="0.2">
      <c r="A849" s="1" t="str">
        <f t="shared" si="13"/>
        <v/>
      </c>
    </row>
    <row r="850" spans="1:1" x14ac:dyDescent="0.2">
      <c r="A850" s="1" t="str">
        <f t="shared" si="13"/>
        <v/>
      </c>
    </row>
    <row r="851" spans="1:1" x14ac:dyDescent="0.2">
      <c r="A851" s="1" t="str">
        <f t="shared" si="13"/>
        <v/>
      </c>
    </row>
    <row r="852" spans="1:1" x14ac:dyDescent="0.2">
      <c r="A852" s="1" t="str">
        <f t="shared" si="13"/>
        <v/>
      </c>
    </row>
    <row r="853" spans="1:1" x14ac:dyDescent="0.2">
      <c r="A853" s="1" t="str">
        <f t="shared" si="13"/>
        <v/>
      </c>
    </row>
    <row r="854" spans="1:1" x14ac:dyDescent="0.2">
      <c r="A854" s="1" t="str">
        <f t="shared" si="13"/>
        <v/>
      </c>
    </row>
    <row r="855" spans="1:1" x14ac:dyDescent="0.2">
      <c r="A855" s="1" t="str">
        <f t="shared" si="13"/>
        <v/>
      </c>
    </row>
    <row r="856" spans="1:1" x14ac:dyDescent="0.2">
      <c r="A856" s="1" t="str">
        <f t="shared" si="13"/>
        <v/>
      </c>
    </row>
    <row r="857" spans="1:1" x14ac:dyDescent="0.2">
      <c r="A857" s="1" t="str">
        <f t="shared" si="13"/>
        <v/>
      </c>
    </row>
    <row r="858" spans="1:1" x14ac:dyDescent="0.2">
      <c r="A858" s="1" t="str">
        <f t="shared" si="13"/>
        <v/>
      </c>
    </row>
    <row r="859" spans="1:1" x14ac:dyDescent="0.2">
      <c r="A859" s="1" t="str">
        <f t="shared" si="13"/>
        <v/>
      </c>
    </row>
    <row r="860" spans="1:1" x14ac:dyDescent="0.2">
      <c r="A860" s="1" t="str">
        <f t="shared" si="13"/>
        <v/>
      </c>
    </row>
    <row r="861" spans="1:1" x14ac:dyDescent="0.2">
      <c r="A861" s="1" t="str">
        <f t="shared" si="13"/>
        <v/>
      </c>
    </row>
    <row r="862" spans="1:1" x14ac:dyDescent="0.2">
      <c r="A862" s="1" t="str">
        <f t="shared" si="13"/>
        <v/>
      </c>
    </row>
    <row r="863" spans="1:1" x14ac:dyDescent="0.2">
      <c r="A863" s="1" t="str">
        <f t="shared" si="13"/>
        <v/>
      </c>
    </row>
    <row r="864" spans="1:1" x14ac:dyDescent="0.2">
      <c r="A864" s="1" t="str">
        <f t="shared" si="13"/>
        <v/>
      </c>
    </row>
    <row r="865" spans="1:1" x14ac:dyDescent="0.2">
      <c r="A865" s="1" t="str">
        <f t="shared" si="13"/>
        <v/>
      </c>
    </row>
    <row r="866" spans="1:1" x14ac:dyDescent="0.2">
      <c r="A866" s="1" t="str">
        <f t="shared" si="13"/>
        <v/>
      </c>
    </row>
    <row r="867" spans="1:1" x14ac:dyDescent="0.2">
      <c r="A867" s="1" t="str">
        <f t="shared" si="13"/>
        <v/>
      </c>
    </row>
    <row r="868" spans="1:1" x14ac:dyDescent="0.2">
      <c r="A868" s="1" t="str">
        <f t="shared" si="13"/>
        <v/>
      </c>
    </row>
    <row r="869" spans="1:1" x14ac:dyDescent="0.2">
      <c r="A869" s="1" t="str">
        <f t="shared" si="13"/>
        <v/>
      </c>
    </row>
    <row r="870" spans="1:1" x14ac:dyDescent="0.2">
      <c r="A870" s="1" t="str">
        <f t="shared" si="13"/>
        <v/>
      </c>
    </row>
    <row r="871" spans="1:1" x14ac:dyDescent="0.2">
      <c r="A871" s="1" t="str">
        <f t="shared" si="13"/>
        <v/>
      </c>
    </row>
    <row r="872" spans="1:1" x14ac:dyDescent="0.2">
      <c r="A872" s="1" t="str">
        <f t="shared" si="13"/>
        <v/>
      </c>
    </row>
    <row r="873" spans="1:1" x14ac:dyDescent="0.2">
      <c r="A873" s="1" t="str">
        <f t="shared" si="13"/>
        <v/>
      </c>
    </row>
    <row r="874" spans="1:1" x14ac:dyDescent="0.2">
      <c r="A874" s="1" t="str">
        <f t="shared" si="13"/>
        <v/>
      </c>
    </row>
    <row r="875" spans="1:1" x14ac:dyDescent="0.2">
      <c r="A875" s="1" t="str">
        <f t="shared" si="13"/>
        <v/>
      </c>
    </row>
    <row r="876" spans="1:1" x14ac:dyDescent="0.2">
      <c r="A876" s="1" t="str">
        <f t="shared" si="13"/>
        <v/>
      </c>
    </row>
    <row r="877" spans="1:1" x14ac:dyDescent="0.2">
      <c r="A877" s="1" t="str">
        <f t="shared" si="13"/>
        <v/>
      </c>
    </row>
    <row r="878" spans="1:1" x14ac:dyDescent="0.2">
      <c r="A878" s="1" t="str">
        <f t="shared" si="13"/>
        <v/>
      </c>
    </row>
    <row r="879" spans="1:1" x14ac:dyDescent="0.2">
      <c r="A879" s="1" t="str">
        <f t="shared" si="13"/>
        <v/>
      </c>
    </row>
    <row r="880" spans="1:1" x14ac:dyDescent="0.2">
      <c r="A880" s="1" t="str">
        <f t="shared" si="13"/>
        <v/>
      </c>
    </row>
    <row r="881" spans="1:1" x14ac:dyDescent="0.2">
      <c r="A881" s="1" t="str">
        <f t="shared" si="13"/>
        <v/>
      </c>
    </row>
    <row r="882" spans="1:1" x14ac:dyDescent="0.2">
      <c r="A882" s="1" t="str">
        <f t="shared" si="13"/>
        <v/>
      </c>
    </row>
    <row r="883" spans="1:1" x14ac:dyDescent="0.2">
      <c r="A883" s="1" t="str">
        <f t="shared" si="13"/>
        <v/>
      </c>
    </row>
    <row r="884" spans="1:1" x14ac:dyDescent="0.2">
      <c r="A884" s="1" t="str">
        <f t="shared" si="13"/>
        <v/>
      </c>
    </row>
    <row r="885" spans="1:1" x14ac:dyDescent="0.2">
      <c r="A885" s="1" t="str">
        <f t="shared" si="13"/>
        <v/>
      </c>
    </row>
    <row r="886" spans="1:1" x14ac:dyDescent="0.2">
      <c r="A886" s="1" t="str">
        <f t="shared" si="13"/>
        <v/>
      </c>
    </row>
    <row r="887" spans="1:1" x14ac:dyDescent="0.2">
      <c r="A887" s="1" t="str">
        <f t="shared" si="13"/>
        <v/>
      </c>
    </row>
    <row r="888" spans="1:1" x14ac:dyDescent="0.2">
      <c r="A888" s="1" t="str">
        <f t="shared" si="13"/>
        <v/>
      </c>
    </row>
    <row r="889" spans="1:1" x14ac:dyDescent="0.2">
      <c r="A889" s="1" t="str">
        <f t="shared" si="13"/>
        <v/>
      </c>
    </row>
    <row r="890" spans="1:1" x14ac:dyDescent="0.2">
      <c r="A890" s="1" t="str">
        <f t="shared" si="13"/>
        <v/>
      </c>
    </row>
    <row r="891" spans="1:1" x14ac:dyDescent="0.2">
      <c r="A891" s="1" t="str">
        <f t="shared" si="13"/>
        <v/>
      </c>
    </row>
    <row r="892" spans="1:1" x14ac:dyDescent="0.2">
      <c r="A892" s="1" t="str">
        <f t="shared" si="13"/>
        <v/>
      </c>
    </row>
    <row r="893" spans="1:1" x14ac:dyDescent="0.2">
      <c r="A893" s="1" t="str">
        <f t="shared" si="13"/>
        <v/>
      </c>
    </row>
    <row r="894" spans="1:1" x14ac:dyDescent="0.2">
      <c r="A894" s="1" t="str">
        <f t="shared" si="13"/>
        <v/>
      </c>
    </row>
    <row r="895" spans="1:1" x14ac:dyDescent="0.2">
      <c r="A895" s="1" t="str">
        <f t="shared" si="13"/>
        <v/>
      </c>
    </row>
    <row r="896" spans="1:1" x14ac:dyDescent="0.2">
      <c r="A896" s="1" t="str">
        <f t="shared" si="13"/>
        <v/>
      </c>
    </row>
    <row r="897" spans="1:1" x14ac:dyDescent="0.2">
      <c r="A897" s="1" t="str">
        <f t="shared" si="13"/>
        <v/>
      </c>
    </row>
    <row r="898" spans="1:1" x14ac:dyDescent="0.2">
      <c r="A898" s="1" t="str">
        <f t="shared" si="13"/>
        <v/>
      </c>
    </row>
    <row r="899" spans="1:1" x14ac:dyDescent="0.2">
      <c r="A899" s="1" t="str">
        <f t="shared" si="13"/>
        <v/>
      </c>
    </row>
    <row r="900" spans="1:1" x14ac:dyDescent="0.2">
      <c r="A900" s="1" t="str">
        <f t="shared" si="13"/>
        <v/>
      </c>
    </row>
    <row r="901" spans="1:1" x14ac:dyDescent="0.2">
      <c r="A901" s="1" t="str">
        <f t="shared" si="13"/>
        <v/>
      </c>
    </row>
    <row r="902" spans="1:1" x14ac:dyDescent="0.2">
      <c r="A902" s="1" t="str">
        <f t="shared" si="13"/>
        <v/>
      </c>
    </row>
    <row r="903" spans="1:1" x14ac:dyDescent="0.2">
      <c r="A903" s="1" t="str">
        <f t="shared" si="13"/>
        <v/>
      </c>
    </row>
    <row r="904" spans="1:1" x14ac:dyDescent="0.2">
      <c r="A904" s="1" t="str">
        <f t="shared" si="13"/>
        <v/>
      </c>
    </row>
    <row r="905" spans="1:1" x14ac:dyDescent="0.2">
      <c r="A905" s="1" t="str">
        <f t="shared" ref="A905:A968" si="14">IF($B905&lt;&gt;"",$A904+10,"")</f>
        <v/>
      </c>
    </row>
    <row r="906" spans="1:1" x14ac:dyDescent="0.2">
      <c r="A906" s="1" t="str">
        <f t="shared" si="14"/>
        <v/>
      </c>
    </row>
    <row r="907" spans="1:1" x14ac:dyDescent="0.2">
      <c r="A907" s="1" t="str">
        <f t="shared" si="14"/>
        <v/>
      </c>
    </row>
    <row r="908" spans="1:1" x14ac:dyDescent="0.2">
      <c r="A908" s="1" t="str">
        <f t="shared" si="14"/>
        <v/>
      </c>
    </row>
    <row r="909" spans="1:1" x14ac:dyDescent="0.2">
      <c r="A909" s="1" t="str">
        <f t="shared" si="14"/>
        <v/>
      </c>
    </row>
    <row r="910" spans="1:1" x14ac:dyDescent="0.2">
      <c r="A910" s="1" t="str">
        <f t="shared" si="14"/>
        <v/>
      </c>
    </row>
    <row r="911" spans="1:1" x14ac:dyDescent="0.2">
      <c r="A911" s="1" t="str">
        <f t="shared" si="14"/>
        <v/>
      </c>
    </row>
    <row r="912" spans="1:1" x14ac:dyDescent="0.2">
      <c r="A912" s="1" t="str">
        <f t="shared" si="14"/>
        <v/>
      </c>
    </row>
    <row r="913" spans="1:1" x14ac:dyDescent="0.2">
      <c r="A913" s="1" t="str">
        <f t="shared" si="14"/>
        <v/>
      </c>
    </row>
    <row r="914" spans="1:1" x14ac:dyDescent="0.2">
      <c r="A914" s="1" t="str">
        <f t="shared" si="14"/>
        <v/>
      </c>
    </row>
    <row r="915" spans="1:1" x14ac:dyDescent="0.2">
      <c r="A915" s="1" t="str">
        <f t="shared" si="14"/>
        <v/>
      </c>
    </row>
    <row r="916" spans="1:1" x14ac:dyDescent="0.2">
      <c r="A916" s="1" t="str">
        <f t="shared" si="14"/>
        <v/>
      </c>
    </row>
    <row r="917" spans="1:1" x14ac:dyDescent="0.2">
      <c r="A917" s="1" t="str">
        <f t="shared" si="14"/>
        <v/>
      </c>
    </row>
    <row r="918" spans="1:1" x14ac:dyDescent="0.2">
      <c r="A918" s="1" t="str">
        <f t="shared" si="14"/>
        <v/>
      </c>
    </row>
    <row r="919" spans="1:1" x14ac:dyDescent="0.2">
      <c r="A919" s="1" t="str">
        <f t="shared" si="14"/>
        <v/>
      </c>
    </row>
    <row r="920" spans="1:1" x14ac:dyDescent="0.2">
      <c r="A920" s="1" t="str">
        <f t="shared" si="14"/>
        <v/>
      </c>
    </row>
    <row r="921" spans="1:1" x14ac:dyDescent="0.2">
      <c r="A921" s="1" t="str">
        <f t="shared" si="14"/>
        <v/>
      </c>
    </row>
    <row r="922" spans="1:1" x14ac:dyDescent="0.2">
      <c r="A922" s="1" t="str">
        <f t="shared" si="14"/>
        <v/>
      </c>
    </row>
    <row r="923" spans="1:1" x14ac:dyDescent="0.2">
      <c r="A923" s="1" t="str">
        <f t="shared" si="14"/>
        <v/>
      </c>
    </row>
    <row r="924" spans="1:1" x14ac:dyDescent="0.2">
      <c r="A924" s="1" t="str">
        <f t="shared" si="14"/>
        <v/>
      </c>
    </row>
    <row r="925" spans="1:1" x14ac:dyDescent="0.2">
      <c r="A925" s="1" t="str">
        <f t="shared" si="14"/>
        <v/>
      </c>
    </row>
    <row r="926" spans="1:1" x14ac:dyDescent="0.2">
      <c r="A926" s="1" t="str">
        <f t="shared" si="14"/>
        <v/>
      </c>
    </row>
    <row r="927" spans="1:1" x14ac:dyDescent="0.2">
      <c r="A927" s="1" t="str">
        <f t="shared" si="14"/>
        <v/>
      </c>
    </row>
    <row r="928" spans="1:1" x14ac:dyDescent="0.2">
      <c r="A928" s="1" t="str">
        <f t="shared" si="14"/>
        <v/>
      </c>
    </row>
    <row r="929" spans="1:1" x14ac:dyDescent="0.2">
      <c r="A929" s="1" t="str">
        <f t="shared" si="14"/>
        <v/>
      </c>
    </row>
    <row r="930" spans="1:1" x14ac:dyDescent="0.2">
      <c r="A930" s="1" t="str">
        <f t="shared" si="14"/>
        <v/>
      </c>
    </row>
    <row r="931" spans="1:1" x14ac:dyDescent="0.2">
      <c r="A931" s="1" t="str">
        <f t="shared" si="14"/>
        <v/>
      </c>
    </row>
    <row r="932" spans="1:1" x14ac:dyDescent="0.2">
      <c r="A932" s="1" t="str">
        <f t="shared" si="14"/>
        <v/>
      </c>
    </row>
    <row r="933" spans="1:1" x14ac:dyDescent="0.2">
      <c r="A933" s="1" t="str">
        <f t="shared" si="14"/>
        <v/>
      </c>
    </row>
    <row r="934" spans="1:1" x14ac:dyDescent="0.2">
      <c r="A934" s="1" t="str">
        <f t="shared" si="14"/>
        <v/>
      </c>
    </row>
    <row r="935" spans="1:1" x14ac:dyDescent="0.2">
      <c r="A935" s="1" t="str">
        <f t="shared" si="14"/>
        <v/>
      </c>
    </row>
    <row r="936" spans="1:1" x14ac:dyDescent="0.2">
      <c r="A936" s="1" t="str">
        <f t="shared" si="14"/>
        <v/>
      </c>
    </row>
    <row r="937" spans="1:1" x14ac:dyDescent="0.2">
      <c r="A937" s="1" t="str">
        <f t="shared" si="14"/>
        <v/>
      </c>
    </row>
    <row r="938" spans="1:1" x14ac:dyDescent="0.2">
      <c r="A938" s="1" t="str">
        <f t="shared" si="14"/>
        <v/>
      </c>
    </row>
    <row r="939" spans="1:1" x14ac:dyDescent="0.2">
      <c r="A939" s="1" t="str">
        <f t="shared" si="14"/>
        <v/>
      </c>
    </row>
    <row r="940" spans="1:1" x14ac:dyDescent="0.2">
      <c r="A940" s="1" t="str">
        <f t="shared" si="14"/>
        <v/>
      </c>
    </row>
    <row r="941" spans="1:1" x14ac:dyDescent="0.2">
      <c r="A941" s="1" t="str">
        <f t="shared" si="14"/>
        <v/>
      </c>
    </row>
    <row r="942" spans="1:1" x14ac:dyDescent="0.2">
      <c r="A942" s="1" t="str">
        <f t="shared" si="14"/>
        <v/>
      </c>
    </row>
    <row r="943" spans="1:1" x14ac:dyDescent="0.2">
      <c r="A943" s="1" t="str">
        <f t="shared" si="14"/>
        <v/>
      </c>
    </row>
    <row r="944" spans="1:1" x14ac:dyDescent="0.2">
      <c r="A944" s="1" t="str">
        <f t="shared" si="14"/>
        <v/>
      </c>
    </row>
    <row r="945" spans="1:1" x14ac:dyDescent="0.2">
      <c r="A945" s="1" t="str">
        <f t="shared" si="14"/>
        <v/>
      </c>
    </row>
    <row r="946" spans="1:1" x14ac:dyDescent="0.2">
      <c r="A946" s="1" t="str">
        <f t="shared" si="14"/>
        <v/>
      </c>
    </row>
    <row r="947" spans="1:1" x14ac:dyDescent="0.2">
      <c r="A947" s="1" t="str">
        <f t="shared" si="14"/>
        <v/>
      </c>
    </row>
    <row r="948" spans="1:1" x14ac:dyDescent="0.2">
      <c r="A948" s="1" t="str">
        <f t="shared" si="14"/>
        <v/>
      </c>
    </row>
    <row r="949" spans="1:1" x14ac:dyDescent="0.2">
      <c r="A949" s="1" t="str">
        <f t="shared" si="14"/>
        <v/>
      </c>
    </row>
    <row r="950" spans="1:1" x14ac:dyDescent="0.2">
      <c r="A950" s="1" t="str">
        <f t="shared" si="14"/>
        <v/>
      </c>
    </row>
    <row r="951" spans="1:1" x14ac:dyDescent="0.2">
      <c r="A951" s="1" t="str">
        <f t="shared" si="14"/>
        <v/>
      </c>
    </row>
    <row r="952" spans="1:1" x14ac:dyDescent="0.2">
      <c r="A952" s="1" t="str">
        <f t="shared" si="14"/>
        <v/>
      </c>
    </row>
    <row r="953" spans="1:1" x14ac:dyDescent="0.2">
      <c r="A953" s="1" t="str">
        <f t="shared" si="14"/>
        <v/>
      </c>
    </row>
    <row r="954" spans="1:1" x14ac:dyDescent="0.2">
      <c r="A954" s="1" t="str">
        <f t="shared" si="14"/>
        <v/>
      </c>
    </row>
    <row r="955" spans="1:1" x14ac:dyDescent="0.2">
      <c r="A955" s="1" t="str">
        <f t="shared" si="14"/>
        <v/>
      </c>
    </row>
    <row r="956" spans="1:1" x14ac:dyDescent="0.2">
      <c r="A956" s="1" t="str">
        <f t="shared" si="14"/>
        <v/>
      </c>
    </row>
    <row r="957" spans="1:1" x14ac:dyDescent="0.2">
      <c r="A957" s="1" t="str">
        <f t="shared" si="14"/>
        <v/>
      </c>
    </row>
    <row r="958" spans="1:1" x14ac:dyDescent="0.2">
      <c r="A958" s="1" t="str">
        <f t="shared" si="14"/>
        <v/>
      </c>
    </row>
    <row r="959" spans="1:1" x14ac:dyDescent="0.2">
      <c r="A959" s="1" t="str">
        <f t="shared" si="14"/>
        <v/>
      </c>
    </row>
    <row r="960" spans="1:1" x14ac:dyDescent="0.2">
      <c r="A960" s="1" t="str">
        <f t="shared" si="14"/>
        <v/>
      </c>
    </row>
    <row r="961" spans="1:1" x14ac:dyDescent="0.2">
      <c r="A961" s="1" t="str">
        <f t="shared" si="14"/>
        <v/>
      </c>
    </row>
    <row r="962" spans="1:1" x14ac:dyDescent="0.2">
      <c r="A962" s="1" t="str">
        <f t="shared" si="14"/>
        <v/>
      </c>
    </row>
    <row r="963" spans="1:1" x14ac:dyDescent="0.2">
      <c r="A963" s="1" t="str">
        <f t="shared" si="14"/>
        <v/>
      </c>
    </row>
    <row r="964" spans="1:1" x14ac:dyDescent="0.2">
      <c r="A964" s="1" t="str">
        <f t="shared" si="14"/>
        <v/>
      </c>
    </row>
    <row r="965" spans="1:1" x14ac:dyDescent="0.2">
      <c r="A965" s="1" t="str">
        <f t="shared" si="14"/>
        <v/>
      </c>
    </row>
    <row r="966" spans="1:1" x14ac:dyDescent="0.2">
      <c r="A966" s="1" t="str">
        <f t="shared" si="14"/>
        <v/>
      </c>
    </row>
    <row r="967" spans="1:1" x14ac:dyDescent="0.2">
      <c r="A967" s="1" t="str">
        <f t="shared" si="14"/>
        <v/>
      </c>
    </row>
    <row r="968" spans="1:1" x14ac:dyDescent="0.2">
      <c r="A968" s="1" t="str">
        <f t="shared" si="14"/>
        <v/>
      </c>
    </row>
    <row r="969" spans="1:1" x14ac:dyDescent="0.2">
      <c r="A969" s="1" t="str">
        <f t="shared" ref="A969:A1032" si="15">IF($B969&lt;&gt;"",$A968+10,"")</f>
        <v/>
      </c>
    </row>
    <row r="970" spans="1:1" x14ac:dyDescent="0.2">
      <c r="A970" s="1" t="str">
        <f t="shared" si="15"/>
        <v/>
      </c>
    </row>
    <row r="971" spans="1:1" x14ac:dyDescent="0.2">
      <c r="A971" s="1" t="str">
        <f t="shared" si="15"/>
        <v/>
      </c>
    </row>
    <row r="972" spans="1:1" x14ac:dyDescent="0.2">
      <c r="A972" s="1" t="str">
        <f t="shared" si="15"/>
        <v/>
      </c>
    </row>
    <row r="973" spans="1:1" x14ac:dyDescent="0.2">
      <c r="A973" s="1" t="str">
        <f t="shared" si="15"/>
        <v/>
      </c>
    </row>
    <row r="974" spans="1:1" x14ac:dyDescent="0.2">
      <c r="A974" s="1" t="str">
        <f t="shared" si="15"/>
        <v/>
      </c>
    </row>
    <row r="975" spans="1:1" x14ac:dyDescent="0.2">
      <c r="A975" s="1" t="str">
        <f t="shared" si="15"/>
        <v/>
      </c>
    </row>
    <row r="976" spans="1:1" x14ac:dyDescent="0.2">
      <c r="A976" s="1" t="str">
        <f t="shared" si="15"/>
        <v/>
      </c>
    </row>
    <row r="977" spans="1:1" x14ac:dyDescent="0.2">
      <c r="A977" s="1" t="str">
        <f t="shared" si="15"/>
        <v/>
      </c>
    </row>
    <row r="978" spans="1:1" x14ac:dyDescent="0.2">
      <c r="A978" s="1" t="str">
        <f t="shared" si="15"/>
        <v/>
      </c>
    </row>
    <row r="979" spans="1:1" x14ac:dyDescent="0.2">
      <c r="A979" s="1" t="str">
        <f t="shared" si="15"/>
        <v/>
      </c>
    </row>
    <row r="980" spans="1:1" x14ac:dyDescent="0.2">
      <c r="A980" s="1" t="str">
        <f t="shared" si="15"/>
        <v/>
      </c>
    </row>
    <row r="981" spans="1:1" x14ac:dyDescent="0.2">
      <c r="A981" s="1" t="str">
        <f t="shared" si="15"/>
        <v/>
      </c>
    </row>
    <row r="982" spans="1:1" x14ac:dyDescent="0.2">
      <c r="A982" s="1" t="str">
        <f t="shared" si="15"/>
        <v/>
      </c>
    </row>
    <row r="983" spans="1:1" x14ac:dyDescent="0.2">
      <c r="A983" s="1" t="str">
        <f t="shared" si="15"/>
        <v/>
      </c>
    </row>
    <row r="984" spans="1:1" x14ac:dyDescent="0.2">
      <c r="A984" s="1" t="str">
        <f t="shared" si="15"/>
        <v/>
      </c>
    </row>
    <row r="985" spans="1:1" x14ac:dyDescent="0.2">
      <c r="A985" s="1" t="str">
        <f t="shared" si="15"/>
        <v/>
      </c>
    </row>
    <row r="986" spans="1:1" x14ac:dyDescent="0.2">
      <c r="A986" s="1" t="str">
        <f t="shared" si="15"/>
        <v/>
      </c>
    </row>
    <row r="987" spans="1:1" x14ac:dyDescent="0.2">
      <c r="A987" s="1" t="str">
        <f t="shared" si="15"/>
        <v/>
      </c>
    </row>
    <row r="988" spans="1:1" x14ac:dyDescent="0.2">
      <c r="A988" s="1" t="str">
        <f t="shared" si="15"/>
        <v/>
      </c>
    </row>
    <row r="989" spans="1:1" x14ac:dyDescent="0.2">
      <c r="A989" s="1" t="str">
        <f t="shared" si="15"/>
        <v/>
      </c>
    </row>
    <row r="990" spans="1:1" x14ac:dyDescent="0.2">
      <c r="A990" s="1" t="str">
        <f t="shared" si="15"/>
        <v/>
      </c>
    </row>
    <row r="991" spans="1:1" x14ac:dyDescent="0.2">
      <c r="A991" s="1" t="str">
        <f t="shared" si="15"/>
        <v/>
      </c>
    </row>
    <row r="992" spans="1:1" x14ac:dyDescent="0.2">
      <c r="A992" s="1" t="str">
        <f t="shared" si="15"/>
        <v/>
      </c>
    </row>
    <row r="993" spans="1:1" x14ac:dyDescent="0.2">
      <c r="A993" s="1" t="str">
        <f t="shared" si="15"/>
        <v/>
      </c>
    </row>
    <row r="994" spans="1:1" x14ac:dyDescent="0.2">
      <c r="A994" s="1" t="str">
        <f t="shared" si="15"/>
        <v/>
      </c>
    </row>
    <row r="995" spans="1:1" x14ac:dyDescent="0.2">
      <c r="A995" s="1" t="str">
        <f t="shared" si="15"/>
        <v/>
      </c>
    </row>
    <row r="996" spans="1:1" x14ac:dyDescent="0.2">
      <c r="A996" s="1" t="str">
        <f t="shared" si="15"/>
        <v/>
      </c>
    </row>
    <row r="997" spans="1:1" x14ac:dyDescent="0.2">
      <c r="A997" s="1" t="str">
        <f t="shared" si="15"/>
        <v/>
      </c>
    </row>
    <row r="998" spans="1:1" x14ac:dyDescent="0.2">
      <c r="A998" s="1" t="str">
        <f t="shared" si="15"/>
        <v/>
      </c>
    </row>
    <row r="999" spans="1:1" x14ac:dyDescent="0.2">
      <c r="A999" s="1" t="str">
        <f t="shared" si="15"/>
        <v/>
      </c>
    </row>
    <row r="1000" spans="1:1" x14ac:dyDescent="0.2">
      <c r="A1000" s="1" t="str">
        <f t="shared" si="15"/>
        <v/>
      </c>
    </row>
    <row r="1001" spans="1:1" x14ac:dyDescent="0.2">
      <c r="A1001" s="1" t="str">
        <f t="shared" si="15"/>
        <v/>
      </c>
    </row>
    <row r="1002" spans="1:1" x14ac:dyDescent="0.2">
      <c r="A1002" s="1" t="str">
        <f t="shared" si="15"/>
        <v/>
      </c>
    </row>
    <row r="1003" spans="1:1" x14ac:dyDescent="0.2">
      <c r="A1003" s="1" t="str">
        <f t="shared" si="15"/>
        <v/>
      </c>
    </row>
    <row r="1004" spans="1:1" x14ac:dyDescent="0.2">
      <c r="A1004" s="1" t="str">
        <f t="shared" si="15"/>
        <v/>
      </c>
    </row>
    <row r="1005" spans="1:1" x14ac:dyDescent="0.2">
      <c r="A1005" s="1" t="str">
        <f t="shared" si="15"/>
        <v/>
      </c>
    </row>
    <row r="1006" spans="1:1" x14ac:dyDescent="0.2">
      <c r="A1006" s="1" t="str">
        <f t="shared" si="15"/>
        <v/>
      </c>
    </row>
    <row r="1007" spans="1:1" x14ac:dyDescent="0.2">
      <c r="A1007" s="1" t="str">
        <f t="shared" si="15"/>
        <v/>
      </c>
    </row>
    <row r="1008" spans="1:1" x14ac:dyDescent="0.2">
      <c r="A1008" s="1" t="str">
        <f t="shared" si="15"/>
        <v/>
      </c>
    </row>
    <row r="1009" spans="1:1" x14ac:dyDescent="0.2">
      <c r="A1009" s="1" t="str">
        <f t="shared" si="15"/>
        <v/>
      </c>
    </row>
    <row r="1010" spans="1:1" x14ac:dyDescent="0.2">
      <c r="A1010" s="1" t="str">
        <f t="shared" si="15"/>
        <v/>
      </c>
    </row>
    <row r="1011" spans="1:1" x14ac:dyDescent="0.2">
      <c r="A1011" s="1" t="str">
        <f t="shared" si="15"/>
        <v/>
      </c>
    </row>
    <row r="1012" spans="1:1" x14ac:dyDescent="0.2">
      <c r="A1012" s="1" t="str">
        <f t="shared" si="15"/>
        <v/>
      </c>
    </row>
    <row r="1013" spans="1:1" x14ac:dyDescent="0.2">
      <c r="A1013" s="1" t="str">
        <f t="shared" si="15"/>
        <v/>
      </c>
    </row>
    <row r="1014" spans="1:1" x14ac:dyDescent="0.2">
      <c r="A1014" s="1" t="str">
        <f t="shared" si="15"/>
        <v/>
      </c>
    </row>
    <row r="1015" spans="1:1" x14ac:dyDescent="0.2">
      <c r="A1015" s="1" t="str">
        <f t="shared" si="15"/>
        <v/>
      </c>
    </row>
    <row r="1016" spans="1:1" x14ac:dyDescent="0.2">
      <c r="A1016" s="1" t="str">
        <f t="shared" si="15"/>
        <v/>
      </c>
    </row>
    <row r="1017" spans="1:1" x14ac:dyDescent="0.2">
      <c r="A1017" s="1" t="str">
        <f t="shared" si="15"/>
        <v/>
      </c>
    </row>
    <row r="1018" spans="1:1" x14ac:dyDescent="0.2">
      <c r="A1018" s="1" t="str">
        <f t="shared" si="15"/>
        <v/>
      </c>
    </row>
    <row r="1019" spans="1:1" x14ac:dyDescent="0.2">
      <c r="A1019" s="1" t="str">
        <f t="shared" si="15"/>
        <v/>
      </c>
    </row>
    <row r="1020" spans="1:1" x14ac:dyDescent="0.2">
      <c r="A1020" s="1" t="str">
        <f t="shared" si="15"/>
        <v/>
      </c>
    </row>
    <row r="1021" spans="1:1" x14ac:dyDescent="0.2">
      <c r="A1021" s="1" t="str">
        <f t="shared" si="15"/>
        <v/>
      </c>
    </row>
    <row r="1022" spans="1:1" x14ac:dyDescent="0.2">
      <c r="A1022" s="1" t="str">
        <f t="shared" si="15"/>
        <v/>
      </c>
    </row>
    <row r="1023" spans="1:1" x14ac:dyDescent="0.2">
      <c r="A1023" s="1" t="str">
        <f t="shared" si="15"/>
        <v/>
      </c>
    </row>
    <row r="1024" spans="1:1" x14ac:dyDescent="0.2">
      <c r="A1024" s="1" t="str">
        <f t="shared" si="15"/>
        <v/>
      </c>
    </row>
    <row r="1025" spans="1:1" x14ac:dyDescent="0.2">
      <c r="A1025" s="1" t="str">
        <f t="shared" si="15"/>
        <v/>
      </c>
    </row>
    <row r="1026" spans="1:1" x14ac:dyDescent="0.2">
      <c r="A1026" s="1" t="str">
        <f t="shared" si="15"/>
        <v/>
      </c>
    </row>
    <row r="1027" spans="1:1" x14ac:dyDescent="0.2">
      <c r="A1027" s="1" t="str">
        <f t="shared" si="15"/>
        <v/>
      </c>
    </row>
    <row r="1028" spans="1:1" x14ac:dyDescent="0.2">
      <c r="A1028" s="1" t="str">
        <f t="shared" si="15"/>
        <v/>
      </c>
    </row>
    <row r="1029" spans="1:1" x14ac:dyDescent="0.2">
      <c r="A1029" s="1" t="str">
        <f t="shared" si="15"/>
        <v/>
      </c>
    </row>
    <row r="1030" spans="1:1" x14ac:dyDescent="0.2">
      <c r="A1030" s="1" t="str">
        <f t="shared" si="15"/>
        <v/>
      </c>
    </row>
    <row r="1031" spans="1:1" x14ac:dyDescent="0.2">
      <c r="A1031" s="1" t="str">
        <f t="shared" si="15"/>
        <v/>
      </c>
    </row>
    <row r="1032" spans="1:1" x14ac:dyDescent="0.2">
      <c r="A1032" s="1" t="str">
        <f t="shared" si="15"/>
        <v/>
      </c>
    </row>
    <row r="1033" spans="1:1" x14ac:dyDescent="0.2">
      <c r="A1033" s="1" t="str">
        <f t="shared" ref="A1033:A1096" si="16">IF($B1033&lt;&gt;"",$A1032+10,"")</f>
        <v/>
      </c>
    </row>
    <row r="1034" spans="1:1" x14ac:dyDescent="0.2">
      <c r="A1034" s="1" t="str">
        <f t="shared" si="16"/>
        <v/>
      </c>
    </row>
    <row r="1035" spans="1:1" x14ac:dyDescent="0.2">
      <c r="A1035" s="1" t="str">
        <f t="shared" si="16"/>
        <v/>
      </c>
    </row>
    <row r="1036" spans="1:1" x14ac:dyDescent="0.2">
      <c r="A1036" s="1" t="str">
        <f t="shared" si="16"/>
        <v/>
      </c>
    </row>
    <row r="1037" spans="1:1" x14ac:dyDescent="0.2">
      <c r="A1037" s="1" t="str">
        <f t="shared" si="16"/>
        <v/>
      </c>
    </row>
    <row r="1038" spans="1:1" x14ac:dyDescent="0.2">
      <c r="A1038" s="1" t="str">
        <f t="shared" si="16"/>
        <v/>
      </c>
    </row>
    <row r="1039" spans="1:1" x14ac:dyDescent="0.2">
      <c r="A1039" s="1" t="str">
        <f t="shared" si="16"/>
        <v/>
      </c>
    </row>
    <row r="1040" spans="1:1" x14ac:dyDescent="0.2">
      <c r="A1040" s="1" t="str">
        <f t="shared" si="16"/>
        <v/>
      </c>
    </row>
    <row r="1041" spans="1:1" x14ac:dyDescent="0.2">
      <c r="A1041" s="1" t="str">
        <f t="shared" si="16"/>
        <v/>
      </c>
    </row>
    <row r="1042" spans="1:1" x14ac:dyDescent="0.2">
      <c r="A1042" s="1" t="str">
        <f t="shared" si="16"/>
        <v/>
      </c>
    </row>
    <row r="1043" spans="1:1" x14ac:dyDescent="0.2">
      <c r="A1043" s="1" t="str">
        <f t="shared" si="16"/>
        <v/>
      </c>
    </row>
    <row r="1044" spans="1:1" x14ac:dyDescent="0.2">
      <c r="A1044" s="1" t="str">
        <f t="shared" si="16"/>
        <v/>
      </c>
    </row>
    <row r="1045" spans="1:1" x14ac:dyDescent="0.2">
      <c r="A1045" s="1" t="str">
        <f t="shared" si="16"/>
        <v/>
      </c>
    </row>
    <row r="1046" spans="1:1" x14ac:dyDescent="0.2">
      <c r="A1046" s="1" t="str">
        <f t="shared" si="16"/>
        <v/>
      </c>
    </row>
    <row r="1047" spans="1:1" x14ac:dyDescent="0.2">
      <c r="A1047" s="1" t="str">
        <f t="shared" si="16"/>
        <v/>
      </c>
    </row>
    <row r="1048" spans="1:1" x14ac:dyDescent="0.2">
      <c r="A1048" s="1" t="str">
        <f t="shared" si="16"/>
        <v/>
      </c>
    </row>
    <row r="1049" spans="1:1" x14ac:dyDescent="0.2">
      <c r="A1049" s="1" t="str">
        <f t="shared" si="16"/>
        <v/>
      </c>
    </row>
    <row r="1050" spans="1:1" x14ac:dyDescent="0.2">
      <c r="A1050" s="1" t="str">
        <f t="shared" si="16"/>
        <v/>
      </c>
    </row>
    <row r="1051" spans="1:1" x14ac:dyDescent="0.2">
      <c r="A1051" s="1" t="str">
        <f t="shared" si="16"/>
        <v/>
      </c>
    </row>
    <row r="1052" spans="1:1" x14ac:dyDescent="0.2">
      <c r="A1052" s="1" t="str">
        <f t="shared" si="16"/>
        <v/>
      </c>
    </row>
    <row r="1053" spans="1:1" x14ac:dyDescent="0.2">
      <c r="A1053" s="1" t="str">
        <f t="shared" si="16"/>
        <v/>
      </c>
    </row>
    <row r="1054" spans="1:1" x14ac:dyDescent="0.2">
      <c r="A1054" s="1" t="str">
        <f t="shared" si="16"/>
        <v/>
      </c>
    </row>
    <row r="1055" spans="1:1" x14ac:dyDescent="0.2">
      <c r="A1055" s="1" t="str">
        <f t="shared" si="16"/>
        <v/>
      </c>
    </row>
    <row r="1056" spans="1:1" x14ac:dyDescent="0.2">
      <c r="A1056" s="1" t="str">
        <f t="shared" si="16"/>
        <v/>
      </c>
    </row>
    <row r="1057" spans="1:1" x14ac:dyDescent="0.2">
      <c r="A1057" s="1" t="str">
        <f t="shared" si="16"/>
        <v/>
      </c>
    </row>
    <row r="1058" spans="1:1" x14ac:dyDescent="0.2">
      <c r="A1058" s="1" t="str">
        <f t="shared" si="16"/>
        <v/>
      </c>
    </row>
    <row r="1059" spans="1:1" x14ac:dyDescent="0.2">
      <c r="A1059" s="1" t="str">
        <f t="shared" si="16"/>
        <v/>
      </c>
    </row>
    <row r="1060" spans="1:1" x14ac:dyDescent="0.2">
      <c r="A1060" s="1" t="str">
        <f t="shared" si="16"/>
        <v/>
      </c>
    </row>
    <row r="1061" spans="1:1" x14ac:dyDescent="0.2">
      <c r="A1061" s="1" t="str">
        <f t="shared" si="16"/>
        <v/>
      </c>
    </row>
    <row r="1062" spans="1:1" x14ac:dyDescent="0.2">
      <c r="A1062" s="1" t="str">
        <f t="shared" si="16"/>
        <v/>
      </c>
    </row>
    <row r="1063" spans="1:1" x14ac:dyDescent="0.2">
      <c r="A1063" s="1" t="str">
        <f t="shared" si="16"/>
        <v/>
      </c>
    </row>
    <row r="1064" spans="1:1" x14ac:dyDescent="0.2">
      <c r="A1064" s="1" t="str">
        <f t="shared" si="16"/>
        <v/>
      </c>
    </row>
    <row r="1065" spans="1:1" x14ac:dyDescent="0.2">
      <c r="A1065" s="1" t="str">
        <f t="shared" si="16"/>
        <v/>
      </c>
    </row>
    <row r="1066" spans="1:1" x14ac:dyDescent="0.2">
      <c r="A1066" s="1" t="str">
        <f t="shared" si="16"/>
        <v/>
      </c>
    </row>
    <row r="1067" spans="1:1" x14ac:dyDescent="0.2">
      <c r="A1067" s="1" t="str">
        <f t="shared" si="16"/>
        <v/>
      </c>
    </row>
    <row r="1068" spans="1:1" x14ac:dyDescent="0.2">
      <c r="A1068" s="1" t="str">
        <f t="shared" si="16"/>
        <v/>
      </c>
    </row>
    <row r="1069" spans="1:1" x14ac:dyDescent="0.2">
      <c r="A1069" s="1" t="str">
        <f t="shared" si="16"/>
        <v/>
      </c>
    </row>
    <row r="1070" spans="1:1" x14ac:dyDescent="0.2">
      <c r="A1070" s="1" t="str">
        <f t="shared" si="16"/>
        <v/>
      </c>
    </row>
    <row r="1071" spans="1:1" x14ac:dyDescent="0.2">
      <c r="A1071" s="1" t="str">
        <f t="shared" si="16"/>
        <v/>
      </c>
    </row>
    <row r="1072" spans="1:1" x14ac:dyDescent="0.2">
      <c r="A1072" s="1" t="str">
        <f t="shared" si="16"/>
        <v/>
      </c>
    </row>
    <row r="1073" spans="1:1" x14ac:dyDescent="0.2">
      <c r="A1073" s="1" t="str">
        <f t="shared" si="16"/>
        <v/>
      </c>
    </row>
    <row r="1074" spans="1:1" x14ac:dyDescent="0.2">
      <c r="A1074" s="1" t="str">
        <f t="shared" si="16"/>
        <v/>
      </c>
    </row>
    <row r="1075" spans="1:1" x14ac:dyDescent="0.2">
      <c r="A1075" s="1" t="str">
        <f t="shared" si="16"/>
        <v/>
      </c>
    </row>
    <row r="1076" spans="1:1" x14ac:dyDescent="0.2">
      <c r="A1076" s="1" t="str">
        <f t="shared" si="16"/>
        <v/>
      </c>
    </row>
    <row r="1077" spans="1:1" x14ac:dyDescent="0.2">
      <c r="A1077" s="1" t="str">
        <f t="shared" si="16"/>
        <v/>
      </c>
    </row>
    <row r="1078" spans="1:1" x14ac:dyDescent="0.2">
      <c r="A1078" s="1" t="str">
        <f t="shared" si="16"/>
        <v/>
      </c>
    </row>
    <row r="1079" spans="1:1" x14ac:dyDescent="0.2">
      <c r="A1079" s="1" t="str">
        <f t="shared" si="16"/>
        <v/>
      </c>
    </row>
    <row r="1080" spans="1:1" x14ac:dyDescent="0.2">
      <c r="A1080" s="1" t="str">
        <f t="shared" si="16"/>
        <v/>
      </c>
    </row>
    <row r="1081" spans="1:1" x14ac:dyDescent="0.2">
      <c r="A1081" s="1" t="str">
        <f t="shared" si="16"/>
        <v/>
      </c>
    </row>
    <row r="1082" spans="1:1" x14ac:dyDescent="0.2">
      <c r="A1082" s="1" t="str">
        <f t="shared" si="16"/>
        <v/>
      </c>
    </row>
    <row r="1083" spans="1:1" x14ac:dyDescent="0.2">
      <c r="A1083" s="1" t="str">
        <f t="shared" si="16"/>
        <v/>
      </c>
    </row>
    <row r="1084" spans="1:1" x14ac:dyDescent="0.2">
      <c r="A1084" s="1" t="str">
        <f t="shared" si="16"/>
        <v/>
      </c>
    </row>
    <row r="1085" spans="1:1" x14ac:dyDescent="0.2">
      <c r="A1085" s="1" t="str">
        <f t="shared" si="16"/>
        <v/>
      </c>
    </row>
    <row r="1086" spans="1:1" x14ac:dyDescent="0.2">
      <c r="A1086" s="1" t="str">
        <f t="shared" si="16"/>
        <v/>
      </c>
    </row>
    <row r="1087" spans="1:1" x14ac:dyDescent="0.2">
      <c r="A1087" s="1" t="str">
        <f t="shared" si="16"/>
        <v/>
      </c>
    </row>
    <row r="1088" spans="1:1" x14ac:dyDescent="0.2">
      <c r="A1088" s="1" t="str">
        <f t="shared" si="16"/>
        <v/>
      </c>
    </row>
    <row r="1089" spans="1:1" x14ac:dyDescent="0.2">
      <c r="A1089" s="1" t="str">
        <f t="shared" si="16"/>
        <v/>
      </c>
    </row>
    <row r="1090" spans="1:1" x14ac:dyDescent="0.2">
      <c r="A1090" s="1" t="str">
        <f t="shared" si="16"/>
        <v/>
      </c>
    </row>
    <row r="1091" spans="1:1" x14ac:dyDescent="0.2">
      <c r="A1091" s="1" t="str">
        <f t="shared" si="16"/>
        <v/>
      </c>
    </row>
    <row r="1092" spans="1:1" x14ac:dyDescent="0.2">
      <c r="A1092" s="1" t="str">
        <f t="shared" si="16"/>
        <v/>
      </c>
    </row>
    <row r="1093" spans="1:1" x14ac:dyDescent="0.2">
      <c r="A1093" s="1" t="str">
        <f t="shared" si="16"/>
        <v/>
      </c>
    </row>
    <row r="1094" spans="1:1" x14ac:dyDescent="0.2">
      <c r="A1094" s="1" t="str">
        <f t="shared" si="16"/>
        <v/>
      </c>
    </row>
    <row r="1095" spans="1:1" x14ac:dyDescent="0.2">
      <c r="A1095" s="1" t="str">
        <f t="shared" si="16"/>
        <v/>
      </c>
    </row>
    <row r="1096" spans="1:1" x14ac:dyDescent="0.2">
      <c r="A1096" s="1" t="str">
        <f t="shared" si="16"/>
        <v/>
      </c>
    </row>
    <row r="1097" spans="1:1" x14ac:dyDescent="0.2">
      <c r="A1097" s="1" t="str">
        <f t="shared" ref="A1097:A1160" si="17">IF($B1097&lt;&gt;"",$A1096+10,"")</f>
        <v/>
      </c>
    </row>
    <row r="1098" spans="1:1" x14ac:dyDescent="0.2">
      <c r="A1098" s="1" t="str">
        <f t="shared" si="17"/>
        <v/>
      </c>
    </row>
    <row r="1099" spans="1:1" x14ac:dyDescent="0.2">
      <c r="A1099" s="1" t="str">
        <f t="shared" si="17"/>
        <v/>
      </c>
    </row>
    <row r="1100" spans="1:1" x14ac:dyDescent="0.2">
      <c r="A1100" s="1" t="str">
        <f t="shared" si="17"/>
        <v/>
      </c>
    </row>
    <row r="1101" spans="1:1" x14ac:dyDescent="0.2">
      <c r="A1101" s="1" t="str">
        <f t="shared" si="17"/>
        <v/>
      </c>
    </row>
    <row r="1102" spans="1:1" x14ac:dyDescent="0.2">
      <c r="A1102" s="1" t="str">
        <f t="shared" si="17"/>
        <v/>
      </c>
    </row>
    <row r="1103" spans="1:1" x14ac:dyDescent="0.2">
      <c r="A1103" s="1" t="str">
        <f t="shared" si="17"/>
        <v/>
      </c>
    </row>
    <row r="1104" spans="1:1" x14ac:dyDescent="0.2">
      <c r="A1104" s="1" t="str">
        <f t="shared" si="17"/>
        <v/>
      </c>
    </row>
    <row r="1105" spans="1:1" x14ac:dyDescent="0.2">
      <c r="A1105" s="1" t="str">
        <f t="shared" si="17"/>
        <v/>
      </c>
    </row>
    <row r="1106" spans="1:1" x14ac:dyDescent="0.2">
      <c r="A1106" s="1" t="str">
        <f t="shared" si="17"/>
        <v/>
      </c>
    </row>
    <row r="1107" spans="1:1" x14ac:dyDescent="0.2">
      <c r="A1107" s="1" t="str">
        <f t="shared" si="17"/>
        <v/>
      </c>
    </row>
    <row r="1108" spans="1:1" x14ac:dyDescent="0.2">
      <c r="A1108" s="1" t="str">
        <f t="shared" si="17"/>
        <v/>
      </c>
    </row>
    <row r="1109" spans="1:1" x14ac:dyDescent="0.2">
      <c r="A1109" s="1" t="str">
        <f t="shared" si="17"/>
        <v/>
      </c>
    </row>
    <row r="1110" spans="1:1" x14ac:dyDescent="0.2">
      <c r="A1110" s="1" t="str">
        <f t="shared" si="17"/>
        <v/>
      </c>
    </row>
    <row r="1111" spans="1:1" x14ac:dyDescent="0.2">
      <c r="A1111" s="1" t="str">
        <f t="shared" si="17"/>
        <v/>
      </c>
    </row>
    <row r="1112" spans="1:1" x14ac:dyDescent="0.2">
      <c r="A1112" s="1" t="str">
        <f t="shared" si="17"/>
        <v/>
      </c>
    </row>
    <row r="1113" spans="1:1" x14ac:dyDescent="0.2">
      <c r="A1113" s="1" t="str">
        <f t="shared" si="17"/>
        <v/>
      </c>
    </row>
    <row r="1114" spans="1:1" x14ac:dyDescent="0.2">
      <c r="A1114" s="1" t="str">
        <f t="shared" si="17"/>
        <v/>
      </c>
    </row>
    <row r="1115" spans="1:1" x14ac:dyDescent="0.2">
      <c r="A1115" s="1" t="str">
        <f t="shared" si="17"/>
        <v/>
      </c>
    </row>
    <row r="1116" spans="1:1" x14ac:dyDescent="0.2">
      <c r="A1116" s="1" t="str">
        <f t="shared" si="17"/>
        <v/>
      </c>
    </row>
    <row r="1117" spans="1:1" x14ac:dyDescent="0.2">
      <c r="A1117" s="1" t="str">
        <f t="shared" si="17"/>
        <v/>
      </c>
    </row>
    <row r="1118" spans="1:1" x14ac:dyDescent="0.2">
      <c r="A1118" s="1" t="str">
        <f t="shared" si="17"/>
        <v/>
      </c>
    </row>
    <row r="1119" spans="1:1" x14ac:dyDescent="0.2">
      <c r="A1119" s="1" t="str">
        <f t="shared" si="17"/>
        <v/>
      </c>
    </row>
    <row r="1120" spans="1:1" x14ac:dyDescent="0.2">
      <c r="A1120" s="1" t="str">
        <f t="shared" si="17"/>
        <v/>
      </c>
    </row>
    <row r="1121" spans="1:1" x14ac:dyDescent="0.2">
      <c r="A1121" s="1" t="str">
        <f t="shared" si="17"/>
        <v/>
      </c>
    </row>
    <row r="1122" spans="1:1" x14ac:dyDescent="0.2">
      <c r="A1122" s="1" t="str">
        <f t="shared" si="17"/>
        <v/>
      </c>
    </row>
    <row r="1123" spans="1:1" x14ac:dyDescent="0.2">
      <c r="A1123" s="1" t="str">
        <f t="shared" si="17"/>
        <v/>
      </c>
    </row>
    <row r="1124" spans="1:1" x14ac:dyDescent="0.2">
      <c r="A1124" s="1" t="str">
        <f t="shared" si="17"/>
        <v/>
      </c>
    </row>
    <row r="1125" spans="1:1" x14ac:dyDescent="0.2">
      <c r="A1125" s="1" t="str">
        <f t="shared" si="17"/>
        <v/>
      </c>
    </row>
    <row r="1126" spans="1:1" x14ac:dyDescent="0.2">
      <c r="A1126" s="1" t="str">
        <f t="shared" si="17"/>
        <v/>
      </c>
    </row>
    <row r="1127" spans="1:1" x14ac:dyDescent="0.2">
      <c r="A1127" s="1" t="str">
        <f t="shared" si="17"/>
        <v/>
      </c>
    </row>
    <row r="1128" spans="1:1" x14ac:dyDescent="0.2">
      <c r="A1128" s="1" t="str">
        <f t="shared" si="17"/>
        <v/>
      </c>
    </row>
    <row r="1129" spans="1:1" x14ac:dyDescent="0.2">
      <c r="A1129" s="1" t="str">
        <f t="shared" si="17"/>
        <v/>
      </c>
    </row>
    <row r="1130" spans="1:1" x14ac:dyDescent="0.2">
      <c r="A1130" s="1" t="str">
        <f t="shared" si="17"/>
        <v/>
      </c>
    </row>
    <row r="1131" spans="1:1" x14ac:dyDescent="0.2">
      <c r="A1131" s="1" t="str">
        <f t="shared" si="17"/>
        <v/>
      </c>
    </row>
    <row r="1132" spans="1:1" x14ac:dyDescent="0.2">
      <c r="A1132" s="1" t="str">
        <f t="shared" si="17"/>
        <v/>
      </c>
    </row>
    <row r="1133" spans="1:1" x14ac:dyDescent="0.2">
      <c r="A1133" s="1" t="str">
        <f t="shared" si="17"/>
        <v/>
      </c>
    </row>
    <row r="1134" spans="1:1" x14ac:dyDescent="0.2">
      <c r="A1134" s="1" t="str">
        <f t="shared" si="17"/>
        <v/>
      </c>
    </row>
    <row r="1135" spans="1:1" x14ac:dyDescent="0.2">
      <c r="A1135" s="1" t="str">
        <f t="shared" si="17"/>
        <v/>
      </c>
    </row>
    <row r="1136" spans="1:1" x14ac:dyDescent="0.2">
      <c r="A1136" s="1" t="str">
        <f t="shared" si="17"/>
        <v/>
      </c>
    </row>
    <row r="1137" spans="1:1" x14ac:dyDescent="0.2">
      <c r="A1137" s="1" t="str">
        <f t="shared" si="17"/>
        <v/>
      </c>
    </row>
    <row r="1138" spans="1:1" x14ac:dyDescent="0.2">
      <c r="A1138" s="1" t="str">
        <f t="shared" si="17"/>
        <v/>
      </c>
    </row>
    <row r="1139" spans="1:1" x14ac:dyDescent="0.2">
      <c r="A1139" s="1" t="str">
        <f t="shared" si="17"/>
        <v/>
      </c>
    </row>
    <row r="1140" spans="1:1" x14ac:dyDescent="0.2">
      <c r="A1140" s="1" t="str">
        <f t="shared" si="17"/>
        <v/>
      </c>
    </row>
    <row r="1141" spans="1:1" x14ac:dyDescent="0.2">
      <c r="A1141" s="1" t="str">
        <f t="shared" si="17"/>
        <v/>
      </c>
    </row>
    <row r="1142" spans="1:1" x14ac:dyDescent="0.2">
      <c r="A1142" s="1" t="str">
        <f t="shared" si="17"/>
        <v/>
      </c>
    </row>
    <row r="1143" spans="1:1" x14ac:dyDescent="0.2">
      <c r="A1143" s="1" t="str">
        <f t="shared" si="17"/>
        <v/>
      </c>
    </row>
    <row r="1144" spans="1:1" x14ac:dyDescent="0.2">
      <c r="A1144" s="1" t="str">
        <f t="shared" si="17"/>
        <v/>
      </c>
    </row>
    <row r="1145" spans="1:1" x14ac:dyDescent="0.2">
      <c r="A1145" s="1" t="str">
        <f t="shared" si="17"/>
        <v/>
      </c>
    </row>
    <row r="1146" spans="1:1" x14ac:dyDescent="0.2">
      <c r="A1146" s="1" t="str">
        <f t="shared" si="17"/>
        <v/>
      </c>
    </row>
    <row r="1147" spans="1:1" x14ac:dyDescent="0.2">
      <c r="A1147" s="1" t="str">
        <f t="shared" si="17"/>
        <v/>
      </c>
    </row>
    <row r="1148" spans="1:1" x14ac:dyDescent="0.2">
      <c r="A1148" s="1" t="str">
        <f t="shared" si="17"/>
        <v/>
      </c>
    </row>
    <row r="1149" spans="1:1" x14ac:dyDescent="0.2">
      <c r="A1149" s="1" t="str">
        <f t="shared" si="17"/>
        <v/>
      </c>
    </row>
    <row r="1150" spans="1:1" x14ac:dyDescent="0.2">
      <c r="A1150" s="1" t="str">
        <f t="shared" si="17"/>
        <v/>
      </c>
    </row>
    <row r="1151" spans="1:1" x14ac:dyDescent="0.2">
      <c r="A1151" s="1" t="str">
        <f t="shared" si="17"/>
        <v/>
      </c>
    </row>
    <row r="1152" spans="1:1" x14ac:dyDescent="0.2">
      <c r="A1152" s="1" t="str">
        <f t="shared" si="17"/>
        <v/>
      </c>
    </row>
    <row r="1153" spans="1:1" x14ac:dyDescent="0.2">
      <c r="A1153" s="1" t="str">
        <f t="shared" si="17"/>
        <v/>
      </c>
    </row>
    <row r="1154" spans="1:1" x14ac:dyDescent="0.2">
      <c r="A1154" s="1" t="str">
        <f t="shared" si="17"/>
        <v/>
      </c>
    </row>
    <row r="1155" spans="1:1" x14ac:dyDescent="0.2">
      <c r="A1155" s="1" t="str">
        <f t="shared" si="17"/>
        <v/>
      </c>
    </row>
    <row r="1156" spans="1:1" x14ac:dyDescent="0.2">
      <c r="A1156" s="1" t="str">
        <f t="shared" si="17"/>
        <v/>
      </c>
    </row>
    <row r="1157" spans="1:1" x14ac:dyDescent="0.2">
      <c r="A1157" s="1" t="str">
        <f t="shared" si="17"/>
        <v/>
      </c>
    </row>
    <row r="1158" spans="1:1" x14ac:dyDescent="0.2">
      <c r="A1158" s="1" t="str">
        <f t="shared" si="17"/>
        <v/>
      </c>
    </row>
    <row r="1159" spans="1:1" x14ac:dyDescent="0.2">
      <c r="A1159" s="1" t="str">
        <f t="shared" si="17"/>
        <v/>
      </c>
    </row>
    <row r="1160" spans="1:1" x14ac:dyDescent="0.2">
      <c r="A1160" s="1" t="str">
        <f t="shared" si="17"/>
        <v/>
      </c>
    </row>
    <row r="1161" spans="1:1" x14ac:dyDescent="0.2">
      <c r="A1161" s="1" t="str">
        <f t="shared" ref="A1161:A1224" si="18">IF($B1161&lt;&gt;"",$A1160+10,"")</f>
        <v/>
      </c>
    </row>
    <row r="1162" spans="1:1" x14ac:dyDescent="0.2">
      <c r="A1162" s="1" t="str">
        <f t="shared" si="18"/>
        <v/>
      </c>
    </row>
    <row r="1163" spans="1:1" x14ac:dyDescent="0.2">
      <c r="A1163" s="1" t="str">
        <f t="shared" si="18"/>
        <v/>
      </c>
    </row>
    <row r="1164" spans="1:1" x14ac:dyDescent="0.2">
      <c r="A1164" s="1" t="str">
        <f t="shared" si="18"/>
        <v/>
      </c>
    </row>
    <row r="1165" spans="1:1" x14ac:dyDescent="0.2">
      <c r="A1165" s="1" t="str">
        <f t="shared" si="18"/>
        <v/>
      </c>
    </row>
    <row r="1166" spans="1:1" x14ac:dyDescent="0.2">
      <c r="A1166" s="1" t="str">
        <f t="shared" si="18"/>
        <v/>
      </c>
    </row>
    <row r="1167" spans="1:1" x14ac:dyDescent="0.2">
      <c r="A1167" s="1" t="str">
        <f t="shared" si="18"/>
        <v/>
      </c>
    </row>
    <row r="1168" spans="1:1" x14ac:dyDescent="0.2">
      <c r="A1168" s="1" t="str">
        <f t="shared" si="18"/>
        <v/>
      </c>
    </row>
    <row r="1169" spans="1:1" x14ac:dyDescent="0.2">
      <c r="A1169" s="1" t="str">
        <f t="shared" si="18"/>
        <v/>
      </c>
    </row>
    <row r="1170" spans="1:1" x14ac:dyDescent="0.2">
      <c r="A1170" s="1" t="str">
        <f t="shared" si="18"/>
        <v/>
      </c>
    </row>
    <row r="1171" spans="1:1" x14ac:dyDescent="0.2">
      <c r="A1171" s="1" t="str">
        <f t="shared" si="18"/>
        <v/>
      </c>
    </row>
    <row r="1172" spans="1:1" x14ac:dyDescent="0.2">
      <c r="A1172" s="1" t="str">
        <f t="shared" si="18"/>
        <v/>
      </c>
    </row>
    <row r="1173" spans="1:1" x14ac:dyDescent="0.2">
      <c r="A1173" s="1" t="str">
        <f t="shared" si="18"/>
        <v/>
      </c>
    </row>
    <row r="1174" spans="1:1" x14ac:dyDescent="0.2">
      <c r="A1174" s="1" t="str">
        <f t="shared" si="18"/>
        <v/>
      </c>
    </row>
    <row r="1175" spans="1:1" x14ac:dyDescent="0.2">
      <c r="A1175" s="1" t="str">
        <f t="shared" si="18"/>
        <v/>
      </c>
    </row>
    <row r="1176" spans="1:1" x14ac:dyDescent="0.2">
      <c r="A1176" s="1" t="str">
        <f t="shared" si="18"/>
        <v/>
      </c>
    </row>
    <row r="1177" spans="1:1" x14ac:dyDescent="0.2">
      <c r="A1177" s="1" t="str">
        <f t="shared" si="18"/>
        <v/>
      </c>
    </row>
    <row r="1178" spans="1:1" x14ac:dyDescent="0.2">
      <c r="A1178" s="1" t="str">
        <f t="shared" si="18"/>
        <v/>
      </c>
    </row>
    <row r="1179" spans="1:1" x14ac:dyDescent="0.2">
      <c r="A1179" s="1" t="str">
        <f t="shared" si="18"/>
        <v/>
      </c>
    </row>
    <row r="1180" spans="1:1" x14ac:dyDescent="0.2">
      <c r="A1180" s="1" t="str">
        <f t="shared" si="18"/>
        <v/>
      </c>
    </row>
    <row r="1181" spans="1:1" x14ac:dyDescent="0.2">
      <c r="A1181" s="1" t="str">
        <f t="shared" si="18"/>
        <v/>
      </c>
    </row>
    <row r="1182" spans="1:1" x14ac:dyDescent="0.2">
      <c r="A1182" s="1" t="str">
        <f t="shared" si="18"/>
        <v/>
      </c>
    </row>
    <row r="1183" spans="1:1" x14ac:dyDescent="0.2">
      <c r="A1183" s="1" t="str">
        <f t="shared" si="18"/>
        <v/>
      </c>
    </row>
    <row r="1184" spans="1:1" x14ac:dyDescent="0.2">
      <c r="A1184" s="1" t="str">
        <f t="shared" si="18"/>
        <v/>
      </c>
    </row>
    <row r="1185" spans="1:1" x14ac:dyDescent="0.2">
      <c r="A1185" s="1" t="str">
        <f t="shared" si="18"/>
        <v/>
      </c>
    </row>
    <row r="1186" spans="1:1" x14ac:dyDescent="0.2">
      <c r="A1186" s="1" t="str">
        <f t="shared" si="18"/>
        <v/>
      </c>
    </row>
    <row r="1187" spans="1:1" x14ac:dyDescent="0.2">
      <c r="A1187" s="1" t="str">
        <f t="shared" si="18"/>
        <v/>
      </c>
    </row>
    <row r="1188" spans="1:1" x14ac:dyDescent="0.2">
      <c r="A1188" s="1" t="str">
        <f t="shared" si="18"/>
        <v/>
      </c>
    </row>
    <row r="1189" spans="1:1" x14ac:dyDescent="0.2">
      <c r="A1189" s="1" t="str">
        <f t="shared" si="18"/>
        <v/>
      </c>
    </row>
    <row r="1190" spans="1:1" x14ac:dyDescent="0.2">
      <c r="A1190" s="1" t="str">
        <f t="shared" si="18"/>
        <v/>
      </c>
    </row>
    <row r="1191" spans="1:1" x14ac:dyDescent="0.2">
      <c r="A1191" s="1" t="str">
        <f t="shared" si="18"/>
        <v/>
      </c>
    </row>
    <row r="1192" spans="1:1" x14ac:dyDescent="0.2">
      <c r="A1192" s="1" t="str">
        <f t="shared" si="18"/>
        <v/>
      </c>
    </row>
    <row r="1193" spans="1:1" x14ac:dyDescent="0.2">
      <c r="A1193" s="1" t="str">
        <f t="shared" si="18"/>
        <v/>
      </c>
    </row>
    <row r="1194" spans="1:1" x14ac:dyDescent="0.2">
      <c r="A1194" s="1" t="str">
        <f t="shared" si="18"/>
        <v/>
      </c>
    </row>
    <row r="1195" spans="1:1" x14ac:dyDescent="0.2">
      <c r="A1195" s="1" t="str">
        <f t="shared" si="18"/>
        <v/>
      </c>
    </row>
    <row r="1196" spans="1:1" x14ac:dyDescent="0.2">
      <c r="A1196" s="1" t="str">
        <f t="shared" si="18"/>
        <v/>
      </c>
    </row>
    <row r="1197" spans="1:1" x14ac:dyDescent="0.2">
      <c r="A1197" s="1" t="str">
        <f t="shared" si="18"/>
        <v/>
      </c>
    </row>
    <row r="1198" spans="1:1" x14ac:dyDescent="0.2">
      <c r="A1198" s="1" t="str">
        <f t="shared" si="18"/>
        <v/>
      </c>
    </row>
    <row r="1199" spans="1:1" x14ac:dyDescent="0.2">
      <c r="A1199" s="1" t="str">
        <f t="shared" si="18"/>
        <v/>
      </c>
    </row>
    <row r="1200" spans="1:1" x14ac:dyDescent="0.2">
      <c r="A1200" s="1" t="str">
        <f t="shared" si="18"/>
        <v/>
      </c>
    </row>
    <row r="1201" spans="1:1" x14ac:dyDescent="0.2">
      <c r="A1201" s="1" t="str">
        <f t="shared" si="18"/>
        <v/>
      </c>
    </row>
    <row r="1202" spans="1:1" x14ac:dyDescent="0.2">
      <c r="A1202" s="1" t="str">
        <f t="shared" si="18"/>
        <v/>
      </c>
    </row>
    <row r="1203" spans="1:1" x14ac:dyDescent="0.2">
      <c r="A1203" s="1" t="str">
        <f t="shared" si="18"/>
        <v/>
      </c>
    </row>
    <row r="1204" spans="1:1" x14ac:dyDescent="0.2">
      <c r="A1204" s="1" t="str">
        <f t="shared" si="18"/>
        <v/>
      </c>
    </row>
    <row r="1205" spans="1:1" x14ac:dyDescent="0.2">
      <c r="A1205" s="1" t="str">
        <f t="shared" si="18"/>
        <v/>
      </c>
    </row>
    <row r="1206" spans="1:1" x14ac:dyDescent="0.2">
      <c r="A1206" s="1" t="str">
        <f t="shared" si="18"/>
        <v/>
      </c>
    </row>
    <row r="1207" spans="1:1" x14ac:dyDescent="0.2">
      <c r="A1207" s="1" t="str">
        <f t="shared" si="18"/>
        <v/>
      </c>
    </row>
    <row r="1208" spans="1:1" x14ac:dyDescent="0.2">
      <c r="A1208" s="1" t="str">
        <f t="shared" si="18"/>
        <v/>
      </c>
    </row>
    <row r="1209" spans="1:1" x14ac:dyDescent="0.2">
      <c r="A1209" s="1" t="str">
        <f t="shared" si="18"/>
        <v/>
      </c>
    </row>
    <row r="1210" spans="1:1" x14ac:dyDescent="0.2">
      <c r="A1210" s="1" t="str">
        <f t="shared" si="18"/>
        <v/>
      </c>
    </row>
    <row r="1211" spans="1:1" x14ac:dyDescent="0.2">
      <c r="A1211" s="1" t="str">
        <f t="shared" si="18"/>
        <v/>
      </c>
    </row>
    <row r="1212" spans="1:1" x14ac:dyDescent="0.2">
      <c r="A1212" s="1" t="str">
        <f t="shared" si="18"/>
        <v/>
      </c>
    </row>
    <row r="1213" spans="1:1" x14ac:dyDescent="0.2">
      <c r="A1213" s="1" t="str">
        <f t="shared" si="18"/>
        <v/>
      </c>
    </row>
    <row r="1214" spans="1:1" x14ac:dyDescent="0.2">
      <c r="A1214" s="1" t="str">
        <f t="shared" si="18"/>
        <v/>
      </c>
    </row>
    <row r="1215" spans="1:1" x14ac:dyDescent="0.2">
      <c r="A1215" s="1" t="str">
        <f t="shared" si="18"/>
        <v/>
      </c>
    </row>
    <row r="1216" spans="1:1" x14ac:dyDescent="0.2">
      <c r="A1216" s="1" t="str">
        <f t="shared" si="18"/>
        <v/>
      </c>
    </row>
    <row r="1217" spans="1:1" x14ac:dyDescent="0.2">
      <c r="A1217" s="1" t="str">
        <f t="shared" si="18"/>
        <v/>
      </c>
    </row>
    <row r="1218" spans="1:1" x14ac:dyDescent="0.2">
      <c r="A1218" s="1" t="str">
        <f t="shared" si="18"/>
        <v/>
      </c>
    </row>
    <row r="1219" spans="1:1" x14ac:dyDescent="0.2">
      <c r="A1219" s="1" t="str">
        <f t="shared" si="18"/>
        <v/>
      </c>
    </row>
    <row r="1220" spans="1:1" x14ac:dyDescent="0.2">
      <c r="A1220" s="1" t="str">
        <f t="shared" si="18"/>
        <v/>
      </c>
    </row>
    <row r="1221" spans="1:1" x14ac:dyDescent="0.2">
      <c r="A1221" s="1" t="str">
        <f t="shared" si="18"/>
        <v/>
      </c>
    </row>
    <row r="1222" spans="1:1" x14ac:dyDescent="0.2">
      <c r="A1222" s="1" t="str">
        <f t="shared" si="18"/>
        <v/>
      </c>
    </row>
    <row r="1223" spans="1:1" x14ac:dyDescent="0.2">
      <c r="A1223" s="1" t="str">
        <f t="shared" si="18"/>
        <v/>
      </c>
    </row>
    <row r="1224" spans="1:1" x14ac:dyDescent="0.2">
      <c r="A1224" s="1" t="str">
        <f t="shared" si="18"/>
        <v/>
      </c>
    </row>
    <row r="1225" spans="1:1" x14ac:dyDescent="0.2">
      <c r="A1225" s="1" t="str">
        <f t="shared" ref="A1225:A1288" si="19">IF($B1225&lt;&gt;"",$A1224+10,"")</f>
        <v/>
      </c>
    </row>
    <row r="1226" spans="1:1" x14ac:dyDescent="0.2">
      <c r="A1226" s="1" t="str">
        <f t="shared" si="19"/>
        <v/>
      </c>
    </row>
    <row r="1227" spans="1:1" x14ac:dyDescent="0.2">
      <c r="A1227" s="1" t="str">
        <f t="shared" si="19"/>
        <v/>
      </c>
    </row>
    <row r="1228" spans="1:1" x14ac:dyDescent="0.2">
      <c r="A1228" s="1" t="str">
        <f t="shared" si="19"/>
        <v/>
      </c>
    </row>
    <row r="1229" spans="1:1" x14ac:dyDescent="0.2">
      <c r="A1229" s="1" t="str">
        <f t="shared" si="19"/>
        <v/>
      </c>
    </row>
    <row r="1230" spans="1:1" x14ac:dyDescent="0.2">
      <c r="A1230" s="1" t="str">
        <f t="shared" si="19"/>
        <v/>
      </c>
    </row>
    <row r="1231" spans="1:1" x14ac:dyDescent="0.2">
      <c r="A1231" s="1" t="str">
        <f t="shared" si="19"/>
        <v/>
      </c>
    </row>
    <row r="1232" spans="1:1" x14ac:dyDescent="0.2">
      <c r="A1232" s="1" t="str">
        <f t="shared" si="19"/>
        <v/>
      </c>
    </row>
    <row r="1233" spans="1:1" x14ac:dyDescent="0.2">
      <c r="A1233" s="1" t="str">
        <f t="shared" si="19"/>
        <v/>
      </c>
    </row>
    <row r="1234" spans="1:1" x14ac:dyDescent="0.2">
      <c r="A1234" s="1" t="str">
        <f t="shared" si="19"/>
        <v/>
      </c>
    </row>
    <row r="1235" spans="1:1" x14ac:dyDescent="0.2">
      <c r="A1235" s="1" t="str">
        <f t="shared" si="19"/>
        <v/>
      </c>
    </row>
    <row r="1236" spans="1:1" x14ac:dyDescent="0.2">
      <c r="A1236" s="1" t="str">
        <f t="shared" si="19"/>
        <v/>
      </c>
    </row>
    <row r="1237" spans="1:1" x14ac:dyDescent="0.2">
      <c r="A1237" s="1" t="str">
        <f t="shared" si="19"/>
        <v/>
      </c>
    </row>
    <row r="1238" spans="1:1" x14ac:dyDescent="0.2">
      <c r="A1238" s="1" t="str">
        <f t="shared" si="19"/>
        <v/>
      </c>
    </row>
    <row r="1239" spans="1:1" x14ac:dyDescent="0.2">
      <c r="A1239" s="1" t="str">
        <f t="shared" si="19"/>
        <v/>
      </c>
    </row>
    <row r="1240" spans="1:1" x14ac:dyDescent="0.2">
      <c r="A1240" s="1" t="str">
        <f t="shared" si="19"/>
        <v/>
      </c>
    </row>
    <row r="1241" spans="1:1" x14ac:dyDescent="0.2">
      <c r="A1241" s="1" t="str">
        <f t="shared" si="19"/>
        <v/>
      </c>
    </row>
    <row r="1242" spans="1:1" x14ac:dyDescent="0.2">
      <c r="A1242" s="1" t="str">
        <f t="shared" si="19"/>
        <v/>
      </c>
    </row>
    <row r="1243" spans="1:1" x14ac:dyDescent="0.2">
      <c r="A1243" s="1" t="str">
        <f t="shared" si="19"/>
        <v/>
      </c>
    </row>
    <row r="1244" spans="1:1" x14ac:dyDescent="0.2">
      <c r="A1244" s="1" t="str">
        <f t="shared" si="19"/>
        <v/>
      </c>
    </row>
    <row r="1245" spans="1:1" x14ac:dyDescent="0.2">
      <c r="A1245" s="1" t="str">
        <f t="shared" si="19"/>
        <v/>
      </c>
    </row>
    <row r="1246" spans="1:1" x14ac:dyDescent="0.2">
      <c r="A1246" s="1" t="str">
        <f t="shared" si="19"/>
        <v/>
      </c>
    </row>
    <row r="1247" spans="1:1" x14ac:dyDescent="0.2">
      <c r="A1247" s="1" t="str">
        <f t="shared" si="19"/>
        <v/>
      </c>
    </row>
    <row r="1248" spans="1:1" x14ac:dyDescent="0.2">
      <c r="A1248" s="1" t="str">
        <f t="shared" si="19"/>
        <v/>
      </c>
    </row>
    <row r="1249" spans="1:1" x14ac:dyDescent="0.2">
      <c r="A1249" s="1" t="str">
        <f t="shared" si="19"/>
        <v/>
      </c>
    </row>
    <row r="1250" spans="1:1" x14ac:dyDescent="0.2">
      <c r="A1250" s="1" t="str">
        <f t="shared" si="19"/>
        <v/>
      </c>
    </row>
    <row r="1251" spans="1:1" x14ac:dyDescent="0.2">
      <c r="A1251" s="1" t="str">
        <f t="shared" si="19"/>
        <v/>
      </c>
    </row>
    <row r="1252" spans="1:1" x14ac:dyDescent="0.2">
      <c r="A1252" s="1" t="str">
        <f t="shared" si="19"/>
        <v/>
      </c>
    </row>
    <row r="1253" spans="1:1" x14ac:dyDescent="0.2">
      <c r="A1253" s="1" t="str">
        <f t="shared" si="19"/>
        <v/>
      </c>
    </row>
    <row r="1254" spans="1:1" x14ac:dyDescent="0.2">
      <c r="A1254" s="1" t="str">
        <f t="shared" si="19"/>
        <v/>
      </c>
    </row>
    <row r="1255" spans="1:1" x14ac:dyDescent="0.2">
      <c r="A1255" s="1" t="str">
        <f t="shared" si="19"/>
        <v/>
      </c>
    </row>
    <row r="1256" spans="1:1" x14ac:dyDescent="0.2">
      <c r="A1256" s="1" t="str">
        <f t="shared" si="19"/>
        <v/>
      </c>
    </row>
    <row r="1257" spans="1:1" x14ac:dyDescent="0.2">
      <c r="A1257" s="1" t="str">
        <f t="shared" si="19"/>
        <v/>
      </c>
    </row>
    <row r="1258" spans="1:1" x14ac:dyDescent="0.2">
      <c r="A1258" s="1" t="str">
        <f t="shared" si="19"/>
        <v/>
      </c>
    </row>
    <row r="1259" spans="1:1" x14ac:dyDescent="0.2">
      <c r="A1259" s="1" t="str">
        <f t="shared" si="19"/>
        <v/>
      </c>
    </row>
    <row r="1260" spans="1:1" x14ac:dyDescent="0.2">
      <c r="A1260" s="1" t="str">
        <f t="shared" si="19"/>
        <v/>
      </c>
    </row>
    <row r="1261" spans="1:1" x14ac:dyDescent="0.2">
      <c r="A1261" s="1" t="str">
        <f t="shared" si="19"/>
        <v/>
      </c>
    </row>
    <row r="1262" spans="1:1" x14ac:dyDescent="0.2">
      <c r="A1262" s="1" t="str">
        <f t="shared" si="19"/>
        <v/>
      </c>
    </row>
    <row r="1263" spans="1:1" x14ac:dyDescent="0.2">
      <c r="A1263" s="1" t="str">
        <f t="shared" si="19"/>
        <v/>
      </c>
    </row>
    <row r="1264" spans="1:1" x14ac:dyDescent="0.2">
      <c r="A1264" s="1" t="str">
        <f t="shared" si="19"/>
        <v/>
      </c>
    </row>
    <row r="1265" spans="1:1" x14ac:dyDescent="0.2">
      <c r="A1265" s="1" t="str">
        <f t="shared" si="19"/>
        <v/>
      </c>
    </row>
    <row r="1266" spans="1:1" x14ac:dyDescent="0.2">
      <c r="A1266" s="1" t="str">
        <f t="shared" si="19"/>
        <v/>
      </c>
    </row>
    <row r="1267" spans="1:1" x14ac:dyDescent="0.2">
      <c r="A1267" s="1" t="str">
        <f t="shared" si="19"/>
        <v/>
      </c>
    </row>
    <row r="1268" spans="1:1" x14ac:dyDescent="0.2">
      <c r="A1268" s="1" t="str">
        <f t="shared" si="19"/>
        <v/>
      </c>
    </row>
    <row r="1269" spans="1:1" x14ac:dyDescent="0.2">
      <c r="A1269" s="1" t="str">
        <f t="shared" si="19"/>
        <v/>
      </c>
    </row>
    <row r="1270" spans="1:1" x14ac:dyDescent="0.2">
      <c r="A1270" s="1" t="str">
        <f t="shared" si="19"/>
        <v/>
      </c>
    </row>
    <row r="1271" spans="1:1" x14ac:dyDescent="0.2">
      <c r="A1271" s="1" t="str">
        <f t="shared" si="19"/>
        <v/>
      </c>
    </row>
    <row r="1272" spans="1:1" x14ac:dyDescent="0.2">
      <c r="A1272" s="1" t="str">
        <f t="shared" si="19"/>
        <v/>
      </c>
    </row>
    <row r="1273" spans="1:1" x14ac:dyDescent="0.2">
      <c r="A1273" s="1" t="str">
        <f t="shared" si="19"/>
        <v/>
      </c>
    </row>
    <row r="1274" spans="1:1" x14ac:dyDescent="0.2">
      <c r="A1274" s="1" t="str">
        <f t="shared" si="19"/>
        <v/>
      </c>
    </row>
    <row r="1275" spans="1:1" x14ac:dyDescent="0.2">
      <c r="A1275" s="1" t="str">
        <f t="shared" si="19"/>
        <v/>
      </c>
    </row>
    <row r="1276" spans="1:1" x14ac:dyDescent="0.2">
      <c r="A1276" s="1" t="str">
        <f t="shared" si="19"/>
        <v/>
      </c>
    </row>
    <row r="1277" spans="1:1" x14ac:dyDescent="0.2">
      <c r="A1277" s="1" t="str">
        <f t="shared" si="19"/>
        <v/>
      </c>
    </row>
    <row r="1278" spans="1:1" x14ac:dyDescent="0.2">
      <c r="A1278" s="1" t="str">
        <f t="shared" si="19"/>
        <v/>
      </c>
    </row>
    <row r="1279" spans="1:1" x14ac:dyDescent="0.2">
      <c r="A1279" s="1" t="str">
        <f t="shared" si="19"/>
        <v/>
      </c>
    </row>
    <row r="1280" spans="1:1" x14ac:dyDescent="0.2">
      <c r="A1280" s="1" t="str">
        <f t="shared" si="19"/>
        <v/>
      </c>
    </row>
    <row r="1281" spans="1:1" x14ac:dyDescent="0.2">
      <c r="A1281" s="1" t="str">
        <f t="shared" si="19"/>
        <v/>
      </c>
    </row>
    <row r="1282" spans="1:1" x14ac:dyDescent="0.2">
      <c r="A1282" s="1" t="str">
        <f t="shared" si="19"/>
        <v/>
      </c>
    </row>
    <row r="1283" spans="1:1" x14ac:dyDescent="0.2">
      <c r="A1283" s="1" t="str">
        <f t="shared" si="19"/>
        <v/>
      </c>
    </row>
    <row r="1284" spans="1:1" x14ac:dyDescent="0.2">
      <c r="A1284" s="1" t="str">
        <f t="shared" si="19"/>
        <v/>
      </c>
    </row>
    <row r="1285" spans="1:1" x14ac:dyDescent="0.2">
      <c r="A1285" s="1" t="str">
        <f t="shared" si="19"/>
        <v/>
      </c>
    </row>
    <row r="1286" spans="1:1" x14ac:dyDescent="0.2">
      <c r="A1286" s="1" t="str">
        <f t="shared" si="19"/>
        <v/>
      </c>
    </row>
    <row r="1287" spans="1:1" x14ac:dyDescent="0.2">
      <c r="A1287" s="1" t="str">
        <f t="shared" si="19"/>
        <v/>
      </c>
    </row>
    <row r="1288" spans="1:1" x14ac:dyDescent="0.2">
      <c r="A1288" s="1" t="str">
        <f t="shared" si="19"/>
        <v/>
      </c>
    </row>
    <row r="1289" spans="1:1" x14ac:dyDescent="0.2">
      <c r="A1289" s="1" t="str">
        <f t="shared" ref="A1289:A1352" si="20">IF($B1289&lt;&gt;"",$A1288+10,"")</f>
        <v/>
      </c>
    </row>
    <row r="1290" spans="1:1" x14ac:dyDescent="0.2">
      <c r="A1290" s="1" t="str">
        <f t="shared" si="20"/>
        <v/>
      </c>
    </row>
    <row r="1291" spans="1:1" x14ac:dyDescent="0.2">
      <c r="A1291" s="1" t="str">
        <f t="shared" si="20"/>
        <v/>
      </c>
    </row>
    <row r="1292" spans="1:1" x14ac:dyDescent="0.2">
      <c r="A1292" s="1" t="str">
        <f t="shared" si="20"/>
        <v/>
      </c>
    </row>
    <row r="1293" spans="1:1" x14ac:dyDescent="0.2">
      <c r="A1293" s="1" t="str">
        <f t="shared" si="20"/>
        <v/>
      </c>
    </row>
    <row r="1294" spans="1:1" x14ac:dyDescent="0.2">
      <c r="A1294" s="1" t="str">
        <f t="shared" si="20"/>
        <v/>
      </c>
    </row>
    <row r="1295" spans="1:1" x14ac:dyDescent="0.2">
      <c r="A1295" s="1" t="str">
        <f t="shared" si="20"/>
        <v/>
      </c>
    </row>
    <row r="1296" spans="1:1" x14ac:dyDescent="0.2">
      <c r="A1296" s="1" t="str">
        <f t="shared" si="20"/>
        <v/>
      </c>
    </row>
    <row r="1297" spans="1:1" x14ac:dyDescent="0.2">
      <c r="A1297" s="1" t="str">
        <f t="shared" si="20"/>
        <v/>
      </c>
    </row>
    <row r="1298" spans="1:1" x14ac:dyDescent="0.2">
      <c r="A1298" s="1" t="str">
        <f t="shared" si="20"/>
        <v/>
      </c>
    </row>
    <row r="1299" spans="1:1" x14ac:dyDescent="0.2">
      <c r="A1299" s="1" t="str">
        <f t="shared" si="20"/>
        <v/>
      </c>
    </row>
    <row r="1300" spans="1:1" x14ac:dyDescent="0.2">
      <c r="A1300" s="1" t="str">
        <f t="shared" si="20"/>
        <v/>
      </c>
    </row>
    <row r="1301" spans="1:1" x14ac:dyDescent="0.2">
      <c r="A1301" s="1" t="str">
        <f t="shared" si="20"/>
        <v/>
      </c>
    </row>
    <row r="1302" spans="1:1" x14ac:dyDescent="0.2">
      <c r="A1302" s="1" t="str">
        <f t="shared" si="20"/>
        <v/>
      </c>
    </row>
    <row r="1303" spans="1:1" x14ac:dyDescent="0.2">
      <c r="A1303" s="1" t="str">
        <f t="shared" si="20"/>
        <v/>
      </c>
    </row>
    <row r="1304" spans="1:1" x14ac:dyDescent="0.2">
      <c r="A1304" s="1" t="str">
        <f t="shared" si="20"/>
        <v/>
      </c>
    </row>
    <row r="1305" spans="1:1" x14ac:dyDescent="0.2">
      <c r="A1305" s="1" t="str">
        <f t="shared" si="20"/>
        <v/>
      </c>
    </row>
    <row r="1306" spans="1:1" x14ac:dyDescent="0.2">
      <c r="A1306" s="1" t="str">
        <f t="shared" si="20"/>
        <v/>
      </c>
    </row>
    <row r="1307" spans="1:1" x14ac:dyDescent="0.2">
      <c r="A1307" s="1" t="str">
        <f t="shared" si="20"/>
        <v/>
      </c>
    </row>
    <row r="1308" spans="1:1" x14ac:dyDescent="0.2">
      <c r="A1308" s="1" t="str">
        <f t="shared" si="20"/>
        <v/>
      </c>
    </row>
    <row r="1309" spans="1:1" x14ac:dyDescent="0.2">
      <c r="A1309" s="1" t="str">
        <f t="shared" si="20"/>
        <v/>
      </c>
    </row>
    <row r="1310" spans="1:1" x14ac:dyDescent="0.2">
      <c r="A1310" s="1" t="str">
        <f t="shared" si="20"/>
        <v/>
      </c>
    </row>
    <row r="1311" spans="1:1" x14ac:dyDescent="0.2">
      <c r="A1311" s="1" t="str">
        <f t="shared" si="20"/>
        <v/>
      </c>
    </row>
    <row r="1312" spans="1:1" x14ac:dyDescent="0.2">
      <c r="A1312" s="1" t="str">
        <f t="shared" si="20"/>
        <v/>
      </c>
    </row>
    <row r="1313" spans="1:1" x14ac:dyDescent="0.2">
      <c r="A1313" s="1" t="str">
        <f t="shared" si="20"/>
        <v/>
      </c>
    </row>
    <row r="1314" spans="1:1" x14ac:dyDescent="0.2">
      <c r="A1314" s="1" t="str">
        <f t="shared" si="20"/>
        <v/>
      </c>
    </row>
    <row r="1315" spans="1:1" x14ac:dyDescent="0.2">
      <c r="A1315" s="1" t="str">
        <f t="shared" si="20"/>
        <v/>
      </c>
    </row>
    <row r="1316" spans="1:1" x14ac:dyDescent="0.2">
      <c r="A1316" s="1" t="str">
        <f t="shared" si="20"/>
        <v/>
      </c>
    </row>
    <row r="1317" spans="1:1" x14ac:dyDescent="0.2">
      <c r="A1317" s="1" t="str">
        <f t="shared" si="20"/>
        <v/>
      </c>
    </row>
    <row r="1318" spans="1:1" x14ac:dyDescent="0.2">
      <c r="A1318" s="1" t="str">
        <f t="shared" si="20"/>
        <v/>
      </c>
    </row>
    <row r="1319" spans="1:1" x14ac:dyDescent="0.2">
      <c r="A1319" s="1" t="str">
        <f t="shared" si="20"/>
        <v/>
      </c>
    </row>
    <row r="1320" spans="1:1" x14ac:dyDescent="0.2">
      <c r="A1320" s="1" t="str">
        <f t="shared" si="20"/>
        <v/>
      </c>
    </row>
    <row r="1321" spans="1:1" x14ac:dyDescent="0.2">
      <c r="A1321" s="1" t="str">
        <f t="shared" si="20"/>
        <v/>
      </c>
    </row>
    <row r="1322" spans="1:1" x14ac:dyDescent="0.2">
      <c r="A1322" s="1" t="str">
        <f t="shared" si="20"/>
        <v/>
      </c>
    </row>
    <row r="1323" spans="1:1" x14ac:dyDescent="0.2">
      <c r="A1323" s="1" t="str">
        <f t="shared" si="20"/>
        <v/>
      </c>
    </row>
    <row r="1324" spans="1:1" x14ac:dyDescent="0.2">
      <c r="A1324" s="1" t="str">
        <f t="shared" si="20"/>
        <v/>
      </c>
    </row>
    <row r="1325" spans="1:1" x14ac:dyDescent="0.2">
      <c r="A1325" s="1" t="str">
        <f t="shared" si="20"/>
        <v/>
      </c>
    </row>
    <row r="1326" spans="1:1" x14ac:dyDescent="0.2">
      <c r="A1326" s="1" t="str">
        <f t="shared" si="20"/>
        <v/>
      </c>
    </row>
    <row r="1327" spans="1:1" x14ac:dyDescent="0.2">
      <c r="A1327" s="1" t="str">
        <f t="shared" si="20"/>
        <v/>
      </c>
    </row>
    <row r="1328" spans="1:1" x14ac:dyDescent="0.2">
      <c r="A1328" s="1" t="str">
        <f t="shared" si="20"/>
        <v/>
      </c>
    </row>
    <row r="1329" spans="1:1" x14ac:dyDescent="0.2">
      <c r="A1329" s="1" t="str">
        <f t="shared" si="20"/>
        <v/>
      </c>
    </row>
    <row r="1330" spans="1:1" x14ac:dyDescent="0.2">
      <c r="A1330" s="1" t="str">
        <f t="shared" si="20"/>
        <v/>
      </c>
    </row>
    <row r="1331" spans="1:1" x14ac:dyDescent="0.2">
      <c r="A1331" s="1" t="str">
        <f t="shared" si="20"/>
        <v/>
      </c>
    </row>
    <row r="1332" spans="1:1" x14ac:dyDescent="0.2">
      <c r="A1332" s="1" t="str">
        <f t="shared" si="20"/>
        <v/>
      </c>
    </row>
    <row r="1333" spans="1:1" x14ac:dyDescent="0.2">
      <c r="A1333" s="1" t="str">
        <f t="shared" si="20"/>
        <v/>
      </c>
    </row>
    <row r="1334" spans="1:1" x14ac:dyDescent="0.2">
      <c r="A1334" s="1" t="str">
        <f t="shared" si="20"/>
        <v/>
      </c>
    </row>
    <row r="1335" spans="1:1" x14ac:dyDescent="0.2">
      <c r="A1335" s="1" t="str">
        <f t="shared" si="20"/>
        <v/>
      </c>
    </row>
    <row r="1336" spans="1:1" x14ac:dyDescent="0.2">
      <c r="A1336" s="1" t="str">
        <f t="shared" si="20"/>
        <v/>
      </c>
    </row>
    <row r="1337" spans="1:1" x14ac:dyDescent="0.2">
      <c r="A1337" s="1" t="str">
        <f t="shared" si="20"/>
        <v/>
      </c>
    </row>
    <row r="1338" spans="1:1" x14ac:dyDescent="0.2">
      <c r="A1338" s="1" t="str">
        <f t="shared" si="20"/>
        <v/>
      </c>
    </row>
    <row r="1339" spans="1:1" x14ac:dyDescent="0.2">
      <c r="A1339" s="1" t="str">
        <f t="shared" si="20"/>
        <v/>
      </c>
    </row>
    <row r="1340" spans="1:1" x14ac:dyDescent="0.2">
      <c r="A1340" s="1" t="str">
        <f t="shared" si="20"/>
        <v/>
      </c>
    </row>
    <row r="1341" spans="1:1" x14ac:dyDescent="0.2">
      <c r="A1341" s="1" t="str">
        <f t="shared" si="20"/>
        <v/>
      </c>
    </row>
    <row r="1342" spans="1:1" x14ac:dyDescent="0.2">
      <c r="A1342" s="1" t="str">
        <f t="shared" si="20"/>
        <v/>
      </c>
    </row>
    <row r="1343" spans="1:1" x14ac:dyDescent="0.2">
      <c r="A1343" s="1" t="str">
        <f t="shared" si="20"/>
        <v/>
      </c>
    </row>
    <row r="1344" spans="1:1" x14ac:dyDescent="0.2">
      <c r="A1344" s="1" t="str">
        <f t="shared" si="20"/>
        <v/>
      </c>
    </row>
    <row r="1345" spans="1:1" x14ac:dyDescent="0.2">
      <c r="A1345" s="1" t="str">
        <f t="shared" si="20"/>
        <v/>
      </c>
    </row>
    <row r="1346" spans="1:1" x14ac:dyDescent="0.2">
      <c r="A1346" s="1" t="str">
        <f t="shared" si="20"/>
        <v/>
      </c>
    </row>
    <row r="1347" spans="1:1" x14ac:dyDescent="0.2">
      <c r="A1347" s="1" t="str">
        <f t="shared" si="20"/>
        <v/>
      </c>
    </row>
    <row r="1348" spans="1:1" x14ac:dyDescent="0.2">
      <c r="A1348" s="1" t="str">
        <f t="shared" si="20"/>
        <v/>
      </c>
    </row>
    <row r="1349" spans="1:1" x14ac:dyDescent="0.2">
      <c r="A1349" s="1" t="str">
        <f t="shared" si="20"/>
        <v/>
      </c>
    </row>
    <row r="1350" spans="1:1" x14ac:dyDescent="0.2">
      <c r="A1350" s="1" t="str">
        <f t="shared" si="20"/>
        <v/>
      </c>
    </row>
    <row r="1351" spans="1:1" x14ac:dyDescent="0.2">
      <c r="A1351" s="1" t="str">
        <f t="shared" si="20"/>
        <v/>
      </c>
    </row>
    <row r="1352" spans="1:1" x14ac:dyDescent="0.2">
      <c r="A1352" s="1" t="str">
        <f t="shared" si="20"/>
        <v/>
      </c>
    </row>
    <row r="1353" spans="1:1" x14ac:dyDescent="0.2">
      <c r="A1353" s="1" t="str">
        <f t="shared" ref="A1353:A1416" si="21">IF($B1353&lt;&gt;"",$A1352+10,"")</f>
        <v/>
      </c>
    </row>
    <row r="1354" spans="1:1" x14ac:dyDescent="0.2">
      <c r="A1354" s="1" t="str">
        <f t="shared" si="21"/>
        <v/>
      </c>
    </row>
    <row r="1355" spans="1:1" x14ac:dyDescent="0.2">
      <c r="A1355" s="1" t="str">
        <f t="shared" si="21"/>
        <v/>
      </c>
    </row>
    <row r="1356" spans="1:1" x14ac:dyDescent="0.2">
      <c r="A1356" s="1" t="str">
        <f t="shared" si="21"/>
        <v/>
      </c>
    </row>
    <row r="1357" spans="1:1" x14ac:dyDescent="0.2">
      <c r="A1357" s="1" t="str">
        <f t="shared" si="21"/>
        <v/>
      </c>
    </row>
    <row r="1358" spans="1:1" x14ac:dyDescent="0.2">
      <c r="A1358" s="1" t="str">
        <f t="shared" si="21"/>
        <v/>
      </c>
    </row>
    <row r="1359" spans="1:1" x14ac:dyDescent="0.2">
      <c r="A1359" s="1" t="str">
        <f t="shared" si="21"/>
        <v/>
      </c>
    </row>
    <row r="1360" spans="1:1" x14ac:dyDescent="0.2">
      <c r="A1360" s="1" t="str">
        <f t="shared" si="21"/>
        <v/>
      </c>
    </row>
    <row r="1361" spans="1:1" x14ac:dyDescent="0.2">
      <c r="A1361" s="1" t="str">
        <f t="shared" si="21"/>
        <v/>
      </c>
    </row>
    <row r="1362" spans="1:1" x14ac:dyDescent="0.2">
      <c r="A1362" s="1" t="str">
        <f t="shared" si="21"/>
        <v/>
      </c>
    </row>
    <row r="1363" spans="1:1" x14ac:dyDescent="0.2">
      <c r="A1363" s="1" t="str">
        <f t="shared" si="21"/>
        <v/>
      </c>
    </row>
    <row r="1364" spans="1:1" x14ac:dyDescent="0.2">
      <c r="A1364" s="1" t="str">
        <f t="shared" si="21"/>
        <v/>
      </c>
    </row>
    <row r="1365" spans="1:1" x14ac:dyDescent="0.2">
      <c r="A1365" s="1" t="str">
        <f t="shared" si="21"/>
        <v/>
      </c>
    </row>
    <row r="1366" spans="1:1" x14ac:dyDescent="0.2">
      <c r="A1366" s="1" t="str">
        <f t="shared" si="21"/>
        <v/>
      </c>
    </row>
    <row r="1367" spans="1:1" x14ac:dyDescent="0.2">
      <c r="A1367" s="1" t="str">
        <f t="shared" si="21"/>
        <v/>
      </c>
    </row>
    <row r="1368" spans="1:1" x14ac:dyDescent="0.2">
      <c r="A1368" s="1" t="str">
        <f t="shared" si="21"/>
        <v/>
      </c>
    </row>
    <row r="1369" spans="1:1" x14ac:dyDescent="0.2">
      <c r="A1369" s="1" t="str">
        <f t="shared" si="21"/>
        <v/>
      </c>
    </row>
    <row r="1370" spans="1:1" x14ac:dyDescent="0.2">
      <c r="A1370" s="1" t="str">
        <f t="shared" si="21"/>
        <v/>
      </c>
    </row>
    <row r="1371" spans="1:1" x14ac:dyDescent="0.2">
      <c r="A1371" s="1" t="str">
        <f t="shared" si="21"/>
        <v/>
      </c>
    </row>
    <row r="1372" spans="1:1" x14ac:dyDescent="0.2">
      <c r="A1372" s="1" t="str">
        <f t="shared" si="21"/>
        <v/>
      </c>
    </row>
    <row r="1373" spans="1:1" x14ac:dyDescent="0.2">
      <c r="A1373" s="1" t="str">
        <f t="shared" si="21"/>
        <v/>
      </c>
    </row>
    <row r="1374" spans="1:1" x14ac:dyDescent="0.2">
      <c r="A1374" s="1" t="str">
        <f t="shared" si="21"/>
        <v/>
      </c>
    </row>
    <row r="1375" spans="1:1" x14ac:dyDescent="0.2">
      <c r="A1375" s="1" t="str">
        <f t="shared" si="21"/>
        <v/>
      </c>
    </row>
    <row r="1376" spans="1:1" x14ac:dyDescent="0.2">
      <c r="A1376" s="1" t="str">
        <f t="shared" si="21"/>
        <v/>
      </c>
    </row>
    <row r="1377" spans="1:1" x14ac:dyDescent="0.2">
      <c r="A1377" s="1" t="str">
        <f t="shared" si="21"/>
        <v/>
      </c>
    </row>
    <row r="1378" spans="1:1" x14ac:dyDescent="0.2">
      <c r="A1378" s="1" t="str">
        <f t="shared" si="21"/>
        <v/>
      </c>
    </row>
    <row r="1379" spans="1:1" x14ac:dyDescent="0.2">
      <c r="A1379" s="1" t="str">
        <f t="shared" si="21"/>
        <v/>
      </c>
    </row>
    <row r="1380" spans="1:1" x14ac:dyDescent="0.2">
      <c r="A1380" s="1" t="str">
        <f t="shared" si="21"/>
        <v/>
      </c>
    </row>
    <row r="1381" spans="1:1" x14ac:dyDescent="0.2">
      <c r="A1381" s="1" t="str">
        <f t="shared" si="21"/>
        <v/>
      </c>
    </row>
    <row r="1382" spans="1:1" x14ac:dyDescent="0.2">
      <c r="A1382" s="1" t="str">
        <f t="shared" si="21"/>
        <v/>
      </c>
    </row>
    <row r="1383" spans="1:1" x14ac:dyDescent="0.2">
      <c r="A1383" s="1" t="str">
        <f t="shared" si="21"/>
        <v/>
      </c>
    </row>
    <row r="1384" spans="1:1" x14ac:dyDescent="0.2">
      <c r="A1384" s="1" t="str">
        <f t="shared" si="21"/>
        <v/>
      </c>
    </row>
    <row r="1385" spans="1:1" x14ac:dyDescent="0.2">
      <c r="A1385" s="1" t="str">
        <f t="shared" si="21"/>
        <v/>
      </c>
    </row>
    <row r="1386" spans="1:1" x14ac:dyDescent="0.2">
      <c r="A1386" s="1" t="str">
        <f t="shared" si="21"/>
        <v/>
      </c>
    </row>
    <row r="1387" spans="1:1" x14ac:dyDescent="0.2">
      <c r="A1387" s="1" t="str">
        <f t="shared" si="21"/>
        <v/>
      </c>
    </row>
    <row r="1388" spans="1:1" x14ac:dyDescent="0.2">
      <c r="A1388" s="1" t="str">
        <f t="shared" si="21"/>
        <v/>
      </c>
    </row>
    <row r="1389" spans="1:1" x14ac:dyDescent="0.2">
      <c r="A1389" s="1" t="str">
        <f t="shared" si="21"/>
        <v/>
      </c>
    </row>
    <row r="1390" spans="1:1" x14ac:dyDescent="0.2">
      <c r="A1390" s="1" t="str">
        <f t="shared" si="21"/>
        <v/>
      </c>
    </row>
    <row r="1391" spans="1:1" x14ac:dyDescent="0.2">
      <c r="A1391" s="1" t="str">
        <f t="shared" si="21"/>
        <v/>
      </c>
    </row>
    <row r="1392" spans="1:1" x14ac:dyDescent="0.2">
      <c r="A1392" s="1" t="str">
        <f t="shared" si="21"/>
        <v/>
      </c>
    </row>
    <row r="1393" spans="1:1" x14ac:dyDescent="0.2">
      <c r="A1393" s="1" t="str">
        <f t="shared" si="21"/>
        <v/>
      </c>
    </row>
    <row r="1394" spans="1:1" x14ac:dyDescent="0.2">
      <c r="A1394" s="1" t="str">
        <f t="shared" si="21"/>
        <v/>
      </c>
    </row>
    <row r="1395" spans="1:1" x14ac:dyDescent="0.2">
      <c r="A1395" s="1" t="str">
        <f t="shared" si="21"/>
        <v/>
      </c>
    </row>
    <row r="1396" spans="1:1" x14ac:dyDescent="0.2">
      <c r="A1396" s="1" t="str">
        <f t="shared" si="21"/>
        <v/>
      </c>
    </row>
    <row r="1397" spans="1:1" x14ac:dyDescent="0.2">
      <c r="A1397" s="1" t="str">
        <f t="shared" si="21"/>
        <v/>
      </c>
    </row>
    <row r="1398" spans="1:1" x14ac:dyDescent="0.2">
      <c r="A1398" s="1" t="str">
        <f t="shared" si="21"/>
        <v/>
      </c>
    </row>
    <row r="1399" spans="1:1" x14ac:dyDescent="0.2">
      <c r="A1399" s="1" t="str">
        <f t="shared" si="21"/>
        <v/>
      </c>
    </row>
    <row r="1400" spans="1:1" x14ac:dyDescent="0.2">
      <c r="A1400" s="1" t="str">
        <f t="shared" si="21"/>
        <v/>
      </c>
    </row>
    <row r="1401" spans="1:1" x14ac:dyDescent="0.2">
      <c r="A1401" s="1" t="str">
        <f t="shared" si="21"/>
        <v/>
      </c>
    </row>
    <row r="1402" spans="1:1" x14ac:dyDescent="0.2">
      <c r="A1402" s="1" t="str">
        <f t="shared" si="21"/>
        <v/>
      </c>
    </row>
    <row r="1403" spans="1:1" x14ac:dyDescent="0.2">
      <c r="A1403" s="1" t="str">
        <f t="shared" si="21"/>
        <v/>
      </c>
    </row>
    <row r="1404" spans="1:1" x14ac:dyDescent="0.2">
      <c r="A1404" s="1" t="str">
        <f t="shared" si="21"/>
        <v/>
      </c>
    </row>
    <row r="1405" spans="1:1" x14ac:dyDescent="0.2">
      <c r="A1405" s="1" t="str">
        <f t="shared" si="21"/>
        <v/>
      </c>
    </row>
    <row r="1406" spans="1:1" x14ac:dyDescent="0.2">
      <c r="A1406" s="1" t="str">
        <f t="shared" si="21"/>
        <v/>
      </c>
    </row>
    <row r="1407" spans="1:1" x14ac:dyDescent="0.2">
      <c r="A1407" s="1" t="str">
        <f t="shared" si="21"/>
        <v/>
      </c>
    </row>
    <row r="1408" spans="1:1" x14ac:dyDescent="0.2">
      <c r="A1408" s="1" t="str">
        <f t="shared" si="21"/>
        <v/>
      </c>
    </row>
    <row r="1409" spans="1:1" x14ac:dyDescent="0.2">
      <c r="A1409" s="1" t="str">
        <f t="shared" si="21"/>
        <v/>
      </c>
    </row>
    <row r="1410" spans="1:1" x14ac:dyDescent="0.2">
      <c r="A1410" s="1" t="str">
        <f t="shared" si="21"/>
        <v/>
      </c>
    </row>
    <row r="1411" spans="1:1" x14ac:dyDescent="0.2">
      <c r="A1411" s="1" t="str">
        <f t="shared" si="21"/>
        <v/>
      </c>
    </row>
    <row r="1412" spans="1:1" x14ac:dyDescent="0.2">
      <c r="A1412" s="1" t="str">
        <f t="shared" si="21"/>
        <v/>
      </c>
    </row>
    <row r="1413" spans="1:1" x14ac:dyDescent="0.2">
      <c r="A1413" s="1" t="str">
        <f t="shared" si="21"/>
        <v/>
      </c>
    </row>
    <row r="1414" spans="1:1" x14ac:dyDescent="0.2">
      <c r="A1414" s="1" t="str">
        <f t="shared" si="21"/>
        <v/>
      </c>
    </row>
    <row r="1415" spans="1:1" x14ac:dyDescent="0.2">
      <c r="A1415" s="1" t="str">
        <f t="shared" si="21"/>
        <v/>
      </c>
    </row>
    <row r="1416" spans="1:1" x14ac:dyDescent="0.2">
      <c r="A1416" s="1" t="str">
        <f t="shared" si="21"/>
        <v/>
      </c>
    </row>
    <row r="1417" spans="1:1" x14ac:dyDescent="0.2">
      <c r="A1417" s="1" t="str">
        <f t="shared" ref="A1417:A1480" si="22">IF($B1417&lt;&gt;"",$A1416+10,"")</f>
        <v/>
      </c>
    </row>
    <row r="1418" spans="1:1" x14ac:dyDescent="0.2">
      <c r="A1418" s="1" t="str">
        <f t="shared" si="22"/>
        <v/>
      </c>
    </row>
    <row r="1419" spans="1:1" x14ac:dyDescent="0.2">
      <c r="A1419" s="1" t="str">
        <f t="shared" si="22"/>
        <v/>
      </c>
    </row>
    <row r="1420" spans="1:1" x14ac:dyDescent="0.2">
      <c r="A1420" s="1" t="str">
        <f t="shared" si="22"/>
        <v/>
      </c>
    </row>
    <row r="1421" spans="1:1" x14ac:dyDescent="0.2">
      <c r="A1421" s="1" t="str">
        <f t="shared" si="22"/>
        <v/>
      </c>
    </row>
    <row r="1422" spans="1:1" x14ac:dyDescent="0.2">
      <c r="A1422" s="1" t="str">
        <f t="shared" si="22"/>
        <v/>
      </c>
    </row>
    <row r="1423" spans="1:1" x14ac:dyDescent="0.2">
      <c r="A1423" s="1" t="str">
        <f t="shared" si="22"/>
        <v/>
      </c>
    </row>
    <row r="1424" spans="1:1" x14ac:dyDescent="0.2">
      <c r="A1424" s="1" t="str">
        <f t="shared" si="22"/>
        <v/>
      </c>
    </row>
    <row r="1425" spans="1:1" x14ac:dyDescent="0.2">
      <c r="A1425" s="1" t="str">
        <f t="shared" si="22"/>
        <v/>
      </c>
    </row>
    <row r="1426" spans="1:1" x14ac:dyDescent="0.2">
      <c r="A1426" s="1" t="str">
        <f t="shared" si="22"/>
        <v/>
      </c>
    </row>
    <row r="1427" spans="1:1" x14ac:dyDescent="0.2">
      <c r="A1427" s="1" t="str">
        <f t="shared" si="22"/>
        <v/>
      </c>
    </row>
    <row r="1428" spans="1:1" x14ac:dyDescent="0.2">
      <c r="A1428" s="1" t="str">
        <f t="shared" si="22"/>
        <v/>
      </c>
    </row>
    <row r="1429" spans="1:1" x14ac:dyDescent="0.2">
      <c r="A1429" s="1" t="str">
        <f t="shared" si="22"/>
        <v/>
      </c>
    </row>
    <row r="1430" spans="1:1" x14ac:dyDescent="0.2">
      <c r="A1430" s="1" t="str">
        <f t="shared" si="22"/>
        <v/>
      </c>
    </row>
    <row r="1431" spans="1:1" x14ac:dyDescent="0.2">
      <c r="A1431" s="1" t="str">
        <f t="shared" si="22"/>
        <v/>
      </c>
    </row>
    <row r="1432" spans="1:1" x14ac:dyDescent="0.2">
      <c r="A1432" s="1" t="str">
        <f t="shared" si="22"/>
        <v/>
      </c>
    </row>
    <row r="1433" spans="1:1" x14ac:dyDescent="0.2">
      <c r="A1433" s="1" t="str">
        <f t="shared" si="22"/>
        <v/>
      </c>
    </row>
    <row r="1434" spans="1:1" x14ac:dyDescent="0.2">
      <c r="A1434" s="1" t="str">
        <f t="shared" si="22"/>
        <v/>
      </c>
    </row>
    <row r="1435" spans="1:1" x14ac:dyDescent="0.2">
      <c r="A1435" s="1" t="str">
        <f t="shared" si="22"/>
        <v/>
      </c>
    </row>
    <row r="1436" spans="1:1" x14ac:dyDescent="0.2">
      <c r="A1436" s="1" t="str">
        <f t="shared" si="22"/>
        <v/>
      </c>
    </row>
    <row r="1437" spans="1:1" x14ac:dyDescent="0.2">
      <c r="A1437" s="1" t="str">
        <f t="shared" si="22"/>
        <v/>
      </c>
    </row>
    <row r="1438" spans="1:1" x14ac:dyDescent="0.2">
      <c r="A1438" s="1" t="str">
        <f t="shared" si="22"/>
        <v/>
      </c>
    </row>
    <row r="1439" spans="1:1" x14ac:dyDescent="0.2">
      <c r="A1439" s="1" t="str">
        <f t="shared" si="22"/>
        <v/>
      </c>
    </row>
    <row r="1440" spans="1:1" x14ac:dyDescent="0.2">
      <c r="A1440" s="1" t="str">
        <f t="shared" si="22"/>
        <v/>
      </c>
    </row>
    <row r="1441" spans="1:1" x14ac:dyDescent="0.2">
      <c r="A1441" s="1" t="str">
        <f t="shared" si="22"/>
        <v/>
      </c>
    </row>
    <row r="1442" spans="1:1" x14ac:dyDescent="0.2">
      <c r="A1442" s="1" t="str">
        <f t="shared" si="22"/>
        <v/>
      </c>
    </row>
    <row r="1443" spans="1:1" x14ac:dyDescent="0.2">
      <c r="A1443" s="1" t="str">
        <f t="shared" si="22"/>
        <v/>
      </c>
    </row>
    <row r="1444" spans="1:1" x14ac:dyDescent="0.2">
      <c r="A1444" s="1" t="str">
        <f t="shared" si="22"/>
        <v/>
      </c>
    </row>
    <row r="1445" spans="1:1" x14ac:dyDescent="0.2">
      <c r="A1445" s="1" t="str">
        <f t="shared" si="22"/>
        <v/>
      </c>
    </row>
    <row r="1446" spans="1:1" x14ac:dyDescent="0.2">
      <c r="A1446" s="1" t="str">
        <f t="shared" si="22"/>
        <v/>
      </c>
    </row>
    <row r="1447" spans="1:1" x14ac:dyDescent="0.2">
      <c r="A1447" s="1" t="str">
        <f t="shared" si="22"/>
        <v/>
      </c>
    </row>
    <row r="1448" spans="1:1" x14ac:dyDescent="0.2">
      <c r="A1448" s="1" t="str">
        <f t="shared" si="22"/>
        <v/>
      </c>
    </row>
    <row r="1449" spans="1:1" x14ac:dyDescent="0.2">
      <c r="A1449" s="1" t="str">
        <f t="shared" si="22"/>
        <v/>
      </c>
    </row>
    <row r="1450" spans="1:1" x14ac:dyDescent="0.2">
      <c r="A1450" s="1" t="str">
        <f t="shared" si="22"/>
        <v/>
      </c>
    </row>
    <row r="1451" spans="1:1" x14ac:dyDescent="0.2">
      <c r="A1451" s="1" t="str">
        <f t="shared" si="22"/>
        <v/>
      </c>
    </row>
    <row r="1452" spans="1:1" x14ac:dyDescent="0.2">
      <c r="A1452" s="1" t="str">
        <f t="shared" si="22"/>
        <v/>
      </c>
    </row>
    <row r="1453" spans="1:1" x14ac:dyDescent="0.2">
      <c r="A1453" s="1" t="str">
        <f t="shared" si="22"/>
        <v/>
      </c>
    </row>
    <row r="1454" spans="1:1" x14ac:dyDescent="0.2">
      <c r="A1454" s="1" t="str">
        <f t="shared" si="22"/>
        <v/>
      </c>
    </row>
    <row r="1455" spans="1:1" x14ac:dyDescent="0.2">
      <c r="A1455" s="1" t="str">
        <f t="shared" si="22"/>
        <v/>
      </c>
    </row>
    <row r="1456" spans="1:1" x14ac:dyDescent="0.2">
      <c r="A1456" s="1" t="str">
        <f t="shared" si="22"/>
        <v/>
      </c>
    </row>
    <row r="1457" spans="1:1" x14ac:dyDescent="0.2">
      <c r="A1457" s="1" t="str">
        <f t="shared" si="22"/>
        <v/>
      </c>
    </row>
    <row r="1458" spans="1:1" x14ac:dyDescent="0.2">
      <c r="A1458" s="1" t="str">
        <f t="shared" si="22"/>
        <v/>
      </c>
    </row>
    <row r="1459" spans="1:1" x14ac:dyDescent="0.2">
      <c r="A1459" s="1" t="str">
        <f t="shared" si="22"/>
        <v/>
      </c>
    </row>
    <row r="1460" spans="1:1" x14ac:dyDescent="0.2">
      <c r="A1460" s="1" t="str">
        <f t="shared" si="22"/>
        <v/>
      </c>
    </row>
    <row r="1461" spans="1:1" x14ac:dyDescent="0.2">
      <c r="A1461" s="1" t="str">
        <f t="shared" si="22"/>
        <v/>
      </c>
    </row>
    <row r="1462" spans="1:1" x14ac:dyDescent="0.2">
      <c r="A1462" s="1" t="str">
        <f t="shared" si="22"/>
        <v/>
      </c>
    </row>
    <row r="1463" spans="1:1" x14ac:dyDescent="0.2">
      <c r="A1463" s="1" t="str">
        <f t="shared" si="22"/>
        <v/>
      </c>
    </row>
    <row r="1464" spans="1:1" x14ac:dyDescent="0.2">
      <c r="A1464" s="1" t="str">
        <f t="shared" si="22"/>
        <v/>
      </c>
    </row>
    <row r="1465" spans="1:1" x14ac:dyDescent="0.2">
      <c r="A1465" s="1" t="str">
        <f t="shared" si="22"/>
        <v/>
      </c>
    </row>
    <row r="1466" spans="1:1" x14ac:dyDescent="0.2">
      <c r="A1466" s="1" t="str">
        <f t="shared" si="22"/>
        <v/>
      </c>
    </row>
    <row r="1467" spans="1:1" x14ac:dyDescent="0.2">
      <c r="A1467" s="1" t="str">
        <f t="shared" si="22"/>
        <v/>
      </c>
    </row>
    <row r="1468" spans="1:1" x14ac:dyDescent="0.2">
      <c r="A1468" s="1" t="str">
        <f t="shared" si="22"/>
        <v/>
      </c>
    </row>
    <row r="1469" spans="1:1" x14ac:dyDescent="0.2">
      <c r="A1469" s="1" t="str">
        <f t="shared" si="22"/>
        <v/>
      </c>
    </row>
    <row r="1470" spans="1:1" x14ac:dyDescent="0.2">
      <c r="A1470" s="1" t="str">
        <f t="shared" si="22"/>
        <v/>
      </c>
    </row>
    <row r="1471" spans="1:1" x14ac:dyDescent="0.2">
      <c r="A1471" s="1" t="str">
        <f t="shared" si="22"/>
        <v/>
      </c>
    </row>
    <row r="1472" spans="1:1" x14ac:dyDescent="0.2">
      <c r="A1472" s="1" t="str">
        <f t="shared" si="22"/>
        <v/>
      </c>
    </row>
    <row r="1473" spans="1:1" x14ac:dyDescent="0.2">
      <c r="A1473" s="1" t="str">
        <f t="shared" si="22"/>
        <v/>
      </c>
    </row>
    <row r="1474" spans="1:1" x14ac:dyDescent="0.2">
      <c r="A1474" s="1" t="str">
        <f t="shared" si="22"/>
        <v/>
      </c>
    </row>
    <row r="1475" spans="1:1" x14ac:dyDescent="0.2">
      <c r="A1475" s="1" t="str">
        <f t="shared" si="22"/>
        <v/>
      </c>
    </row>
    <row r="1476" spans="1:1" x14ac:dyDescent="0.2">
      <c r="A1476" s="1" t="str">
        <f t="shared" si="22"/>
        <v/>
      </c>
    </row>
    <row r="1477" spans="1:1" x14ac:dyDescent="0.2">
      <c r="A1477" s="1" t="str">
        <f t="shared" si="22"/>
        <v/>
      </c>
    </row>
    <row r="1478" spans="1:1" x14ac:dyDescent="0.2">
      <c r="A1478" s="1" t="str">
        <f t="shared" si="22"/>
        <v/>
      </c>
    </row>
    <row r="1479" spans="1:1" x14ac:dyDescent="0.2">
      <c r="A1479" s="1" t="str">
        <f t="shared" si="22"/>
        <v/>
      </c>
    </row>
    <row r="1480" spans="1:1" x14ac:dyDescent="0.2">
      <c r="A1480" s="1" t="str">
        <f t="shared" si="22"/>
        <v/>
      </c>
    </row>
    <row r="1481" spans="1:1" x14ac:dyDescent="0.2">
      <c r="A1481" s="1" t="str">
        <f t="shared" ref="A1481:A1544" si="23">IF($B1481&lt;&gt;"",$A1480+10,"")</f>
        <v/>
      </c>
    </row>
    <row r="1482" spans="1:1" x14ac:dyDescent="0.2">
      <c r="A1482" s="1" t="str">
        <f t="shared" si="23"/>
        <v/>
      </c>
    </row>
    <row r="1483" spans="1:1" x14ac:dyDescent="0.2">
      <c r="A1483" s="1" t="str">
        <f t="shared" si="23"/>
        <v/>
      </c>
    </row>
    <row r="1484" spans="1:1" x14ac:dyDescent="0.2">
      <c r="A1484" s="1" t="str">
        <f t="shared" si="23"/>
        <v/>
      </c>
    </row>
    <row r="1485" spans="1:1" x14ac:dyDescent="0.2">
      <c r="A1485" s="1" t="str">
        <f t="shared" si="23"/>
        <v/>
      </c>
    </row>
    <row r="1486" spans="1:1" x14ac:dyDescent="0.2">
      <c r="A1486" s="1" t="str">
        <f t="shared" si="23"/>
        <v/>
      </c>
    </row>
    <row r="1487" spans="1:1" x14ac:dyDescent="0.2">
      <c r="A1487" s="1" t="str">
        <f t="shared" si="23"/>
        <v/>
      </c>
    </row>
    <row r="1488" spans="1:1" x14ac:dyDescent="0.2">
      <c r="A1488" s="1" t="str">
        <f t="shared" si="23"/>
        <v/>
      </c>
    </row>
    <row r="1489" spans="1:1" x14ac:dyDescent="0.2">
      <c r="A1489" s="1" t="str">
        <f t="shared" si="23"/>
        <v/>
      </c>
    </row>
    <row r="1490" spans="1:1" x14ac:dyDescent="0.2">
      <c r="A1490" s="1" t="str">
        <f t="shared" si="23"/>
        <v/>
      </c>
    </row>
    <row r="1491" spans="1:1" x14ac:dyDescent="0.2">
      <c r="A1491" s="1" t="str">
        <f t="shared" si="23"/>
        <v/>
      </c>
    </row>
    <row r="1492" spans="1:1" x14ac:dyDescent="0.2">
      <c r="A1492" s="1" t="str">
        <f t="shared" si="23"/>
        <v/>
      </c>
    </row>
    <row r="1493" spans="1:1" x14ac:dyDescent="0.2">
      <c r="A1493" s="1" t="str">
        <f t="shared" si="23"/>
        <v/>
      </c>
    </row>
    <row r="1494" spans="1:1" x14ac:dyDescent="0.2">
      <c r="A1494" s="1" t="str">
        <f t="shared" si="23"/>
        <v/>
      </c>
    </row>
    <row r="1495" spans="1:1" x14ac:dyDescent="0.2">
      <c r="A1495" s="1" t="str">
        <f t="shared" si="23"/>
        <v/>
      </c>
    </row>
    <row r="1496" spans="1:1" x14ac:dyDescent="0.2">
      <c r="A1496" s="1" t="str">
        <f t="shared" si="23"/>
        <v/>
      </c>
    </row>
    <row r="1497" spans="1:1" x14ac:dyDescent="0.2">
      <c r="A1497" s="1" t="str">
        <f t="shared" si="23"/>
        <v/>
      </c>
    </row>
    <row r="1498" spans="1:1" x14ac:dyDescent="0.2">
      <c r="A1498" s="1" t="str">
        <f t="shared" si="23"/>
        <v/>
      </c>
    </row>
    <row r="1499" spans="1:1" x14ac:dyDescent="0.2">
      <c r="A1499" s="1" t="str">
        <f t="shared" si="23"/>
        <v/>
      </c>
    </row>
    <row r="1500" spans="1:1" x14ac:dyDescent="0.2">
      <c r="A1500" s="1" t="str">
        <f t="shared" si="23"/>
        <v/>
      </c>
    </row>
    <row r="1501" spans="1:1" x14ac:dyDescent="0.2">
      <c r="A1501" s="1" t="str">
        <f t="shared" si="23"/>
        <v/>
      </c>
    </row>
    <row r="1502" spans="1:1" x14ac:dyDescent="0.2">
      <c r="A1502" s="1" t="str">
        <f t="shared" si="23"/>
        <v/>
      </c>
    </row>
    <row r="1503" spans="1:1" x14ac:dyDescent="0.2">
      <c r="A1503" s="1" t="str">
        <f t="shared" si="23"/>
        <v/>
      </c>
    </row>
    <row r="1504" spans="1:1" x14ac:dyDescent="0.2">
      <c r="A1504" s="1" t="str">
        <f t="shared" si="23"/>
        <v/>
      </c>
    </row>
    <row r="1505" spans="1:1" x14ac:dyDescent="0.2">
      <c r="A1505" s="1" t="str">
        <f t="shared" si="23"/>
        <v/>
      </c>
    </row>
    <row r="1506" spans="1:1" x14ac:dyDescent="0.2">
      <c r="A1506" s="1" t="str">
        <f t="shared" si="23"/>
        <v/>
      </c>
    </row>
    <row r="1507" spans="1:1" x14ac:dyDescent="0.2">
      <c r="A1507" s="1" t="str">
        <f t="shared" si="23"/>
        <v/>
      </c>
    </row>
    <row r="1508" spans="1:1" x14ac:dyDescent="0.2">
      <c r="A1508" s="1" t="str">
        <f t="shared" si="23"/>
        <v/>
      </c>
    </row>
    <row r="1509" spans="1:1" x14ac:dyDescent="0.2">
      <c r="A1509" s="1" t="str">
        <f t="shared" si="23"/>
        <v/>
      </c>
    </row>
    <row r="1510" spans="1:1" x14ac:dyDescent="0.2">
      <c r="A1510" s="1" t="str">
        <f t="shared" si="23"/>
        <v/>
      </c>
    </row>
    <row r="1511" spans="1:1" x14ac:dyDescent="0.2">
      <c r="A1511" s="1" t="str">
        <f t="shared" si="23"/>
        <v/>
      </c>
    </row>
    <row r="1512" spans="1:1" x14ac:dyDescent="0.2">
      <c r="A1512" s="1" t="str">
        <f t="shared" si="23"/>
        <v/>
      </c>
    </row>
    <row r="1513" spans="1:1" x14ac:dyDescent="0.2">
      <c r="A1513" s="1" t="str">
        <f t="shared" si="23"/>
        <v/>
      </c>
    </row>
    <row r="1514" spans="1:1" x14ac:dyDescent="0.2">
      <c r="A1514" s="1" t="str">
        <f t="shared" si="23"/>
        <v/>
      </c>
    </row>
    <row r="1515" spans="1:1" x14ac:dyDescent="0.2">
      <c r="A1515" s="1" t="str">
        <f t="shared" si="23"/>
        <v/>
      </c>
    </row>
    <row r="1516" spans="1:1" x14ac:dyDescent="0.2">
      <c r="A1516" s="1" t="str">
        <f t="shared" si="23"/>
        <v/>
      </c>
    </row>
    <row r="1517" spans="1:1" x14ac:dyDescent="0.2">
      <c r="A1517" s="1" t="str">
        <f t="shared" si="23"/>
        <v/>
      </c>
    </row>
    <row r="1518" spans="1:1" x14ac:dyDescent="0.2">
      <c r="A1518" s="1" t="str">
        <f t="shared" si="23"/>
        <v/>
      </c>
    </row>
    <row r="1519" spans="1:1" x14ac:dyDescent="0.2">
      <c r="A1519" s="1" t="str">
        <f t="shared" si="23"/>
        <v/>
      </c>
    </row>
    <row r="1520" spans="1:1" x14ac:dyDescent="0.2">
      <c r="A1520" s="1" t="str">
        <f t="shared" si="23"/>
        <v/>
      </c>
    </row>
    <row r="1521" spans="1:1" x14ac:dyDescent="0.2">
      <c r="A1521" s="1" t="str">
        <f t="shared" si="23"/>
        <v/>
      </c>
    </row>
    <row r="1522" spans="1:1" x14ac:dyDescent="0.2">
      <c r="A1522" s="1" t="str">
        <f t="shared" si="23"/>
        <v/>
      </c>
    </row>
    <row r="1523" spans="1:1" x14ac:dyDescent="0.2">
      <c r="A1523" s="1" t="str">
        <f t="shared" si="23"/>
        <v/>
      </c>
    </row>
    <row r="1524" spans="1:1" x14ac:dyDescent="0.2">
      <c r="A1524" s="1" t="str">
        <f t="shared" si="23"/>
        <v/>
      </c>
    </row>
    <row r="1525" spans="1:1" x14ac:dyDescent="0.2">
      <c r="A1525" s="1" t="str">
        <f t="shared" si="23"/>
        <v/>
      </c>
    </row>
    <row r="1526" spans="1:1" x14ac:dyDescent="0.2">
      <c r="A1526" s="1" t="str">
        <f t="shared" si="23"/>
        <v/>
      </c>
    </row>
    <row r="1527" spans="1:1" x14ac:dyDescent="0.2">
      <c r="A1527" s="1" t="str">
        <f t="shared" si="23"/>
        <v/>
      </c>
    </row>
    <row r="1528" spans="1:1" x14ac:dyDescent="0.2">
      <c r="A1528" s="1" t="str">
        <f t="shared" si="23"/>
        <v/>
      </c>
    </row>
    <row r="1529" spans="1:1" x14ac:dyDescent="0.2">
      <c r="A1529" s="1" t="str">
        <f t="shared" si="23"/>
        <v/>
      </c>
    </row>
    <row r="1530" spans="1:1" x14ac:dyDescent="0.2">
      <c r="A1530" s="1" t="str">
        <f t="shared" si="23"/>
        <v/>
      </c>
    </row>
    <row r="1531" spans="1:1" x14ac:dyDescent="0.2">
      <c r="A1531" s="1" t="str">
        <f t="shared" si="23"/>
        <v/>
      </c>
    </row>
    <row r="1532" spans="1:1" x14ac:dyDescent="0.2">
      <c r="A1532" s="1" t="str">
        <f t="shared" si="23"/>
        <v/>
      </c>
    </row>
    <row r="1533" spans="1:1" x14ac:dyDescent="0.2">
      <c r="A1533" s="1" t="str">
        <f t="shared" si="23"/>
        <v/>
      </c>
    </row>
    <row r="1534" spans="1:1" x14ac:dyDescent="0.2">
      <c r="A1534" s="1" t="str">
        <f t="shared" si="23"/>
        <v/>
      </c>
    </row>
    <row r="1535" spans="1:1" x14ac:dyDescent="0.2">
      <c r="A1535" s="1" t="str">
        <f t="shared" si="23"/>
        <v/>
      </c>
    </row>
    <row r="1536" spans="1:1" x14ac:dyDescent="0.2">
      <c r="A1536" s="1" t="str">
        <f t="shared" si="23"/>
        <v/>
      </c>
    </row>
    <row r="1537" spans="1:1" x14ac:dyDescent="0.2">
      <c r="A1537" s="1" t="str">
        <f t="shared" si="23"/>
        <v/>
      </c>
    </row>
    <row r="1538" spans="1:1" x14ac:dyDescent="0.2">
      <c r="A1538" s="1" t="str">
        <f t="shared" si="23"/>
        <v/>
      </c>
    </row>
    <row r="1539" spans="1:1" x14ac:dyDescent="0.2">
      <c r="A1539" s="1" t="str">
        <f t="shared" si="23"/>
        <v/>
      </c>
    </row>
    <row r="1540" spans="1:1" x14ac:dyDescent="0.2">
      <c r="A1540" s="1" t="str">
        <f t="shared" si="23"/>
        <v/>
      </c>
    </row>
    <row r="1541" spans="1:1" x14ac:dyDescent="0.2">
      <c r="A1541" s="1" t="str">
        <f t="shared" si="23"/>
        <v/>
      </c>
    </row>
    <row r="1542" spans="1:1" x14ac:dyDescent="0.2">
      <c r="A1542" s="1" t="str">
        <f t="shared" si="23"/>
        <v/>
      </c>
    </row>
    <row r="1543" spans="1:1" x14ac:dyDescent="0.2">
      <c r="A1543" s="1" t="str">
        <f t="shared" si="23"/>
        <v/>
      </c>
    </row>
    <row r="1544" spans="1:1" x14ac:dyDescent="0.2">
      <c r="A1544" s="1" t="str">
        <f t="shared" si="23"/>
        <v/>
      </c>
    </row>
    <row r="1545" spans="1:1" x14ac:dyDescent="0.2">
      <c r="A1545" s="1" t="str">
        <f t="shared" ref="A1545:A1608" si="24">IF($B1545&lt;&gt;"",$A1544+10,"")</f>
        <v/>
      </c>
    </row>
    <row r="1546" spans="1:1" x14ac:dyDescent="0.2">
      <c r="A1546" s="1" t="str">
        <f t="shared" si="24"/>
        <v/>
      </c>
    </row>
    <row r="1547" spans="1:1" x14ac:dyDescent="0.2">
      <c r="A1547" s="1" t="str">
        <f t="shared" si="24"/>
        <v/>
      </c>
    </row>
    <row r="1548" spans="1:1" x14ac:dyDescent="0.2">
      <c r="A1548" s="1" t="str">
        <f t="shared" si="24"/>
        <v/>
      </c>
    </row>
    <row r="1549" spans="1:1" x14ac:dyDescent="0.2">
      <c r="A1549" s="1" t="str">
        <f t="shared" si="24"/>
        <v/>
      </c>
    </row>
    <row r="1550" spans="1:1" x14ac:dyDescent="0.2">
      <c r="A1550" s="1" t="str">
        <f t="shared" si="24"/>
        <v/>
      </c>
    </row>
    <row r="1551" spans="1:1" x14ac:dyDescent="0.2">
      <c r="A1551" s="1" t="str">
        <f t="shared" si="24"/>
        <v/>
      </c>
    </row>
    <row r="1552" spans="1:1" x14ac:dyDescent="0.2">
      <c r="A1552" s="1" t="str">
        <f t="shared" si="24"/>
        <v/>
      </c>
    </row>
    <row r="1553" spans="1:1" x14ac:dyDescent="0.2">
      <c r="A1553" s="1" t="str">
        <f t="shared" si="24"/>
        <v/>
      </c>
    </row>
    <row r="1554" spans="1:1" x14ac:dyDescent="0.2">
      <c r="A1554" s="1" t="str">
        <f t="shared" si="24"/>
        <v/>
      </c>
    </row>
    <row r="1555" spans="1:1" x14ac:dyDescent="0.2">
      <c r="A1555" s="1" t="str">
        <f t="shared" si="24"/>
        <v/>
      </c>
    </row>
    <row r="1556" spans="1:1" x14ac:dyDescent="0.2">
      <c r="A1556" s="1" t="str">
        <f t="shared" si="24"/>
        <v/>
      </c>
    </row>
    <row r="1557" spans="1:1" x14ac:dyDescent="0.2">
      <c r="A1557" s="1" t="str">
        <f t="shared" si="24"/>
        <v/>
      </c>
    </row>
    <row r="1558" spans="1:1" x14ac:dyDescent="0.2">
      <c r="A1558" s="1" t="str">
        <f t="shared" si="24"/>
        <v/>
      </c>
    </row>
    <row r="1559" spans="1:1" x14ac:dyDescent="0.2">
      <c r="A1559" s="1" t="str">
        <f t="shared" si="24"/>
        <v/>
      </c>
    </row>
    <row r="1560" spans="1:1" x14ac:dyDescent="0.2">
      <c r="A1560" s="1" t="str">
        <f t="shared" si="24"/>
        <v/>
      </c>
    </row>
    <row r="1561" spans="1:1" x14ac:dyDescent="0.2">
      <c r="A1561" s="1" t="str">
        <f t="shared" si="24"/>
        <v/>
      </c>
    </row>
    <row r="1562" spans="1:1" x14ac:dyDescent="0.2">
      <c r="A1562" s="1" t="str">
        <f t="shared" si="24"/>
        <v/>
      </c>
    </row>
    <row r="1563" spans="1:1" x14ac:dyDescent="0.2">
      <c r="A1563" s="1" t="str">
        <f t="shared" si="24"/>
        <v/>
      </c>
    </row>
    <row r="1564" spans="1:1" x14ac:dyDescent="0.2">
      <c r="A1564" s="1" t="str">
        <f t="shared" si="24"/>
        <v/>
      </c>
    </row>
    <row r="1565" spans="1:1" x14ac:dyDescent="0.2">
      <c r="A1565" s="1" t="str">
        <f t="shared" si="24"/>
        <v/>
      </c>
    </row>
    <row r="1566" spans="1:1" x14ac:dyDescent="0.2">
      <c r="A1566" s="1" t="str">
        <f t="shared" si="24"/>
        <v/>
      </c>
    </row>
    <row r="1567" spans="1:1" x14ac:dyDescent="0.2">
      <c r="A1567" s="1" t="str">
        <f t="shared" si="24"/>
        <v/>
      </c>
    </row>
    <row r="1568" spans="1:1" x14ac:dyDescent="0.2">
      <c r="A1568" s="1" t="str">
        <f t="shared" si="24"/>
        <v/>
      </c>
    </row>
    <row r="1569" spans="1:1" x14ac:dyDescent="0.2">
      <c r="A1569" s="1" t="str">
        <f t="shared" si="24"/>
        <v/>
      </c>
    </row>
    <row r="1570" spans="1:1" x14ac:dyDescent="0.2">
      <c r="A1570" s="1" t="str">
        <f t="shared" si="24"/>
        <v/>
      </c>
    </row>
    <row r="1571" spans="1:1" x14ac:dyDescent="0.2">
      <c r="A1571" s="1" t="str">
        <f t="shared" si="24"/>
        <v/>
      </c>
    </row>
    <row r="1572" spans="1:1" x14ac:dyDescent="0.2">
      <c r="A1572" s="1" t="str">
        <f t="shared" si="24"/>
        <v/>
      </c>
    </row>
    <row r="1573" spans="1:1" x14ac:dyDescent="0.2">
      <c r="A1573" s="1" t="str">
        <f t="shared" si="24"/>
        <v/>
      </c>
    </row>
    <row r="1574" spans="1:1" x14ac:dyDescent="0.2">
      <c r="A1574" s="1" t="str">
        <f t="shared" si="24"/>
        <v/>
      </c>
    </row>
    <row r="1575" spans="1:1" x14ac:dyDescent="0.2">
      <c r="A1575" s="1" t="str">
        <f t="shared" si="24"/>
        <v/>
      </c>
    </row>
    <row r="1576" spans="1:1" x14ac:dyDescent="0.2">
      <c r="A1576" s="1" t="str">
        <f t="shared" si="24"/>
        <v/>
      </c>
    </row>
    <row r="1577" spans="1:1" x14ac:dyDescent="0.2">
      <c r="A1577" s="1" t="str">
        <f t="shared" si="24"/>
        <v/>
      </c>
    </row>
    <row r="1578" spans="1:1" x14ac:dyDescent="0.2">
      <c r="A1578" s="1" t="str">
        <f t="shared" si="24"/>
        <v/>
      </c>
    </row>
    <row r="1579" spans="1:1" x14ac:dyDescent="0.2">
      <c r="A1579" s="1" t="str">
        <f t="shared" si="24"/>
        <v/>
      </c>
    </row>
    <row r="1580" spans="1:1" x14ac:dyDescent="0.2">
      <c r="A1580" s="1" t="str">
        <f t="shared" si="24"/>
        <v/>
      </c>
    </row>
    <row r="1581" spans="1:1" x14ac:dyDescent="0.2">
      <c r="A1581" s="1" t="str">
        <f t="shared" si="24"/>
        <v/>
      </c>
    </row>
    <row r="1582" spans="1:1" x14ac:dyDescent="0.2">
      <c r="A1582" s="1" t="str">
        <f t="shared" si="24"/>
        <v/>
      </c>
    </row>
    <row r="1583" spans="1:1" x14ac:dyDescent="0.2">
      <c r="A1583" s="1" t="str">
        <f t="shared" si="24"/>
        <v/>
      </c>
    </row>
    <row r="1584" spans="1:1" x14ac:dyDescent="0.2">
      <c r="A1584" s="1" t="str">
        <f t="shared" si="24"/>
        <v/>
      </c>
    </row>
    <row r="1585" spans="1:1" x14ac:dyDescent="0.2">
      <c r="A1585" s="1" t="str">
        <f t="shared" si="24"/>
        <v/>
      </c>
    </row>
    <row r="1586" spans="1:1" x14ac:dyDescent="0.2">
      <c r="A1586" s="1" t="str">
        <f t="shared" si="24"/>
        <v/>
      </c>
    </row>
    <row r="1587" spans="1:1" x14ac:dyDescent="0.2">
      <c r="A1587" s="1" t="str">
        <f t="shared" si="24"/>
        <v/>
      </c>
    </row>
    <row r="1588" spans="1:1" x14ac:dyDescent="0.2">
      <c r="A1588" s="1" t="str">
        <f t="shared" si="24"/>
        <v/>
      </c>
    </row>
    <row r="1589" spans="1:1" x14ac:dyDescent="0.2">
      <c r="A1589" s="1" t="str">
        <f t="shared" si="24"/>
        <v/>
      </c>
    </row>
    <row r="1590" spans="1:1" x14ac:dyDescent="0.2">
      <c r="A1590" s="1" t="str">
        <f t="shared" si="24"/>
        <v/>
      </c>
    </row>
    <row r="1591" spans="1:1" x14ac:dyDescent="0.2">
      <c r="A1591" s="1" t="str">
        <f t="shared" si="24"/>
        <v/>
      </c>
    </row>
    <row r="1592" spans="1:1" x14ac:dyDescent="0.2">
      <c r="A1592" s="1" t="str">
        <f t="shared" si="24"/>
        <v/>
      </c>
    </row>
    <row r="1593" spans="1:1" x14ac:dyDescent="0.2">
      <c r="A1593" s="1" t="str">
        <f t="shared" si="24"/>
        <v/>
      </c>
    </row>
    <row r="1594" spans="1:1" x14ac:dyDescent="0.2">
      <c r="A1594" s="1" t="str">
        <f t="shared" si="24"/>
        <v/>
      </c>
    </row>
    <row r="1595" spans="1:1" x14ac:dyDescent="0.2">
      <c r="A1595" s="1" t="str">
        <f t="shared" si="24"/>
        <v/>
      </c>
    </row>
    <row r="1596" spans="1:1" x14ac:dyDescent="0.2">
      <c r="A1596" s="1" t="str">
        <f t="shared" si="24"/>
        <v/>
      </c>
    </row>
    <row r="1597" spans="1:1" x14ac:dyDescent="0.2">
      <c r="A1597" s="1" t="str">
        <f t="shared" si="24"/>
        <v/>
      </c>
    </row>
    <row r="1598" spans="1:1" x14ac:dyDescent="0.2">
      <c r="A1598" s="1" t="str">
        <f t="shared" si="24"/>
        <v/>
      </c>
    </row>
    <row r="1599" spans="1:1" x14ac:dyDescent="0.2">
      <c r="A1599" s="1" t="str">
        <f t="shared" si="24"/>
        <v/>
      </c>
    </row>
    <row r="1600" spans="1:1" x14ac:dyDescent="0.2">
      <c r="A1600" s="1" t="str">
        <f t="shared" si="24"/>
        <v/>
      </c>
    </row>
    <row r="1601" spans="1:1" x14ac:dyDescent="0.2">
      <c r="A1601" s="1" t="str">
        <f t="shared" si="24"/>
        <v/>
      </c>
    </row>
    <row r="1602" spans="1:1" x14ac:dyDescent="0.2">
      <c r="A1602" s="1" t="str">
        <f t="shared" si="24"/>
        <v/>
      </c>
    </row>
    <row r="1603" spans="1:1" x14ac:dyDescent="0.2">
      <c r="A1603" s="1" t="str">
        <f t="shared" si="24"/>
        <v/>
      </c>
    </row>
    <row r="1604" spans="1:1" x14ac:dyDescent="0.2">
      <c r="A1604" s="1" t="str">
        <f t="shared" si="24"/>
        <v/>
      </c>
    </row>
    <row r="1605" spans="1:1" x14ac:dyDescent="0.2">
      <c r="A1605" s="1" t="str">
        <f t="shared" si="24"/>
        <v/>
      </c>
    </row>
    <row r="1606" spans="1:1" x14ac:dyDescent="0.2">
      <c r="A1606" s="1" t="str">
        <f t="shared" si="24"/>
        <v/>
      </c>
    </row>
    <row r="1607" spans="1:1" x14ac:dyDescent="0.2">
      <c r="A1607" s="1" t="str">
        <f t="shared" si="24"/>
        <v/>
      </c>
    </row>
    <row r="1608" spans="1:1" x14ac:dyDescent="0.2">
      <c r="A1608" s="1" t="str">
        <f t="shared" si="24"/>
        <v/>
      </c>
    </row>
    <row r="1609" spans="1:1" x14ac:dyDescent="0.2">
      <c r="A1609" s="1" t="str">
        <f t="shared" ref="A1609:A1672" si="25">IF($B1609&lt;&gt;"",$A1608+10,"")</f>
        <v/>
      </c>
    </row>
    <row r="1610" spans="1:1" x14ac:dyDescent="0.2">
      <c r="A1610" s="1" t="str">
        <f t="shared" si="25"/>
        <v/>
      </c>
    </row>
    <row r="1611" spans="1:1" x14ac:dyDescent="0.2">
      <c r="A1611" s="1" t="str">
        <f t="shared" si="25"/>
        <v/>
      </c>
    </row>
    <row r="1612" spans="1:1" x14ac:dyDescent="0.2">
      <c r="A1612" s="1" t="str">
        <f t="shared" si="25"/>
        <v/>
      </c>
    </row>
    <row r="1613" spans="1:1" x14ac:dyDescent="0.2">
      <c r="A1613" s="1" t="str">
        <f t="shared" si="25"/>
        <v/>
      </c>
    </row>
    <row r="1614" spans="1:1" x14ac:dyDescent="0.2">
      <c r="A1614" s="1" t="str">
        <f t="shared" si="25"/>
        <v/>
      </c>
    </row>
    <row r="1615" spans="1:1" x14ac:dyDescent="0.2">
      <c r="A1615" s="1" t="str">
        <f t="shared" si="25"/>
        <v/>
      </c>
    </row>
    <row r="1616" spans="1:1" x14ac:dyDescent="0.2">
      <c r="A1616" s="1" t="str">
        <f t="shared" si="25"/>
        <v/>
      </c>
    </row>
    <row r="1617" spans="1:1" x14ac:dyDescent="0.2">
      <c r="A1617" s="1" t="str">
        <f t="shared" si="25"/>
        <v/>
      </c>
    </row>
    <row r="1618" spans="1:1" x14ac:dyDescent="0.2">
      <c r="A1618" s="1" t="str">
        <f t="shared" si="25"/>
        <v/>
      </c>
    </row>
    <row r="1619" spans="1:1" x14ac:dyDescent="0.2">
      <c r="A1619" s="1" t="str">
        <f t="shared" si="25"/>
        <v/>
      </c>
    </row>
    <row r="1620" spans="1:1" x14ac:dyDescent="0.2">
      <c r="A1620" s="1" t="str">
        <f t="shared" si="25"/>
        <v/>
      </c>
    </row>
    <row r="1621" spans="1:1" x14ac:dyDescent="0.2">
      <c r="A1621" s="1" t="str">
        <f t="shared" si="25"/>
        <v/>
      </c>
    </row>
    <row r="1622" spans="1:1" x14ac:dyDescent="0.2">
      <c r="A1622" s="1" t="str">
        <f t="shared" si="25"/>
        <v/>
      </c>
    </row>
    <row r="1623" spans="1:1" x14ac:dyDescent="0.2">
      <c r="A1623" s="1" t="str">
        <f t="shared" si="25"/>
        <v/>
      </c>
    </row>
    <row r="1624" spans="1:1" x14ac:dyDescent="0.2">
      <c r="A1624" s="1" t="str">
        <f t="shared" si="25"/>
        <v/>
      </c>
    </row>
    <row r="1625" spans="1:1" x14ac:dyDescent="0.2">
      <c r="A1625" s="1" t="str">
        <f t="shared" si="25"/>
        <v/>
      </c>
    </row>
    <row r="1626" spans="1:1" x14ac:dyDescent="0.2">
      <c r="A1626" s="1" t="str">
        <f t="shared" si="25"/>
        <v/>
      </c>
    </row>
    <row r="1627" spans="1:1" x14ac:dyDescent="0.2">
      <c r="A1627" s="1" t="str">
        <f t="shared" si="25"/>
        <v/>
      </c>
    </row>
    <row r="1628" spans="1:1" x14ac:dyDescent="0.2">
      <c r="A1628" s="1" t="str">
        <f t="shared" si="25"/>
        <v/>
      </c>
    </row>
    <row r="1629" spans="1:1" x14ac:dyDescent="0.2">
      <c r="A1629" s="1" t="str">
        <f t="shared" si="25"/>
        <v/>
      </c>
    </row>
    <row r="1630" spans="1:1" x14ac:dyDescent="0.2">
      <c r="A1630" s="1" t="str">
        <f t="shared" si="25"/>
        <v/>
      </c>
    </row>
    <row r="1631" spans="1:1" x14ac:dyDescent="0.2">
      <c r="A1631" s="1" t="str">
        <f t="shared" si="25"/>
        <v/>
      </c>
    </row>
    <row r="1632" spans="1:1" x14ac:dyDescent="0.2">
      <c r="A1632" s="1" t="str">
        <f t="shared" si="25"/>
        <v/>
      </c>
    </row>
    <row r="1633" spans="1:1" x14ac:dyDescent="0.2">
      <c r="A1633" s="1" t="str">
        <f t="shared" si="25"/>
        <v/>
      </c>
    </row>
    <row r="1634" spans="1:1" x14ac:dyDescent="0.2">
      <c r="A1634" s="1" t="str">
        <f t="shared" si="25"/>
        <v/>
      </c>
    </row>
    <row r="1635" spans="1:1" x14ac:dyDescent="0.2">
      <c r="A1635" s="1" t="str">
        <f t="shared" si="25"/>
        <v/>
      </c>
    </row>
    <row r="1636" spans="1:1" x14ac:dyDescent="0.2">
      <c r="A1636" s="1" t="str">
        <f t="shared" si="25"/>
        <v/>
      </c>
    </row>
    <row r="1637" spans="1:1" x14ac:dyDescent="0.2">
      <c r="A1637" s="1" t="str">
        <f t="shared" si="25"/>
        <v/>
      </c>
    </row>
    <row r="1638" spans="1:1" x14ac:dyDescent="0.2">
      <c r="A1638" s="1" t="str">
        <f t="shared" si="25"/>
        <v/>
      </c>
    </row>
    <row r="1639" spans="1:1" x14ac:dyDescent="0.2">
      <c r="A1639" s="1" t="str">
        <f t="shared" si="25"/>
        <v/>
      </c>
    </row>
    <row r="1640" spans="1:1" x14ac:dyDescent="0.2">
      <c r="A1640" s="1" t="str">
        <f t="shared" si="25"/>
        <v/>
      </c>
    </row>
    <row r="1641" spans="1:1" x14ac:dyDescent="0.2">
      <c r="A1641" s="1" t="str">
        <f t="shared" si="25"/>
        <v/>
      </c>
    </row>
    <row r="1642" spans="1:1" x14ac:dyDescent="0.2">
      <c r="A1642" s="1" t="str">
        <f t="shared" si="25"/>
        <v/>
      </c>
    </row>
    <row r="1643" spans="1:1" x14ac:dyDescent="0.2">
      <c r="A1643" s="1" t="str">
        <f t="shared" si="25"/>
        <v/>
      </c>
    </row>
    <row r="1644" spans="1:1" x14ac:dyDescent="0.2">
      <c r="A1644" s="1" t="str">
        <f t="shared" si="25"/>
        <v/>
      </c>
    </row>
    <row r="1645" spans="1:1" x14ac:dyDescent="0.2">
      <c r="A1645" s="1" t="str">
        <f t="shared" si="25"/>
        <v/>
      </c>
    </row>
    <row r="1646" spans="1:1" x14ac:dyDescent="0.2">
      <c r="A1646" s="1" t="str">
        <f t="shared" si="25"/>
        <v/>
      </c>
    </row>
    <row r="1647" spans="1:1" x14ac:dyDescent="0.2">
      <c r="A1647" s="1" t="str">
        <f t="shared" si="25"/>
        <v/>
      </c>
    </row>
    <row r="1648" spans="1:1" x14ac:dyDescent="0.2">
      <c r="A1648" s="1" t="str">
        <f t="shared" si="25"/>
        <v/>
      </c>
    </row>
    <row r="1649" spans="1:1" x14ac:dyDescent="0.2">
      <c r="A1649" s="1" t="str">
        <f t="shared" si="25"/>
        <v/>
      </c>
    </row>
    <row r="1650" spans="1:1" x14ac:dyDescent="0.2">
      <c r="A1650" s="1" t="str">
        <f t="shared" si="25"/>
        <v/>
      </c>
    </row>
    <row r="1651" spans="1:1" x14ac:dyDescent="0.2">
      <c r="A1651" s="1" t="str">
        <f t="shared" si="25"/>
        <v/>
      </c>
    </row>
    <row r="1652" spans="1:1" x14ac:dyDescent="0.2">
      <c r="A1652" s="1" t="str">
        <f t="shared" si="25"/>
        <v/>
      </c>
    </row>
    <row r="1653" spans="1:1" x14ac:dyDescent="0.2">
      <c r="A1653" s="1" t="str">
        <f t="shared" si="25"/>
        <v/>
      </c>
    </row>
    <row r="1654" spans="1:1" x14ac:dyDescent="0.2">
      <c r="A1654" s="1" t="str">
        <f t="shared" si="25"/>
        <v/>
      </c>
    </row>
    <row r="1655" spans="1:1" x14ac:dyDescent="0.2">
      <c r="A1655" s="1" t="str">
        <f t="shared" si="25"/>
        <v/>
      </c>
    </row>
    <row r="1656" spans="1:1" x14ac:dyDescent="0.2">
      <c r="A1656" s="1" t="str">
        <f t="shared" si="25"/>
        <v/>
      </c>
    </row>
    <row r="1657" spans="1:1" x14ac:dyDescent="0.2">
      <c r="A1657" s="1" t="str">
        <f t="shared" si="25"/>
        <v/>
      </c>
    </row>
    <row r="1658" spans="1:1" x14ac:dyDescent="0.2">
      <c r="A1658" s="1" t="str">
        <f t="shared" si="25"/>
        <v/>
      </c>
    </row>
    <row r="1659" spans="1:1" x14ac:dyDescent="0.2">
      <c r="A1659" s="1" t="str">
        <f t="shared" si="25"/>
        <v/>
      </c>
    </row>
    <row r="1660" spans="1:1" x14ac:dyDescent="0.2">
      <c r="A1660" s="1" t="str">
        <f t="shared" si="25"/>
        <v/>
      </c>
    </row>
    <row r="1661" spans="1:1" x14ac:dyDescent="0.2">
      <c r="A1661" s="1" t="str">
        <f t="shared" si="25"/>
        <v/>
      </c>
    </row>
    <row r="1662" spans="1:1" x14ac:dyDescent="0.2">
      <c r="A1662" s="1" t="str">
        <f t="shared" si="25"/>
        <v/>
      </c>
    </row>
    <row r="1663" spans="1:1" x14ac:dyDescent="0.2">
      <c r="A1663" s="1" t="str">
        <f t="shared" si="25"/>
        <v/>
      </c>
    </row>
    <row r="1664" spans="1:1" x14ac:dyDescent="0.2">
      <c r="A1664" s="1" t="str">
        <f t="shared" si="25"/>
        <v/>
      </c>
    </row>
    <row r="1665" spans="1:1" x14ac:dyDescent="0.2">
      <c r="A1665" s="1" t="str">
        <f t="shared" si="25"/>
        <v/>
      </c>
    </row>
    <row r="1666" spans="1:1" x14ac:dyDescent="0.2">
      <c r="A1666" s="1" t="str">
        <f t="shared" si="25"/>
        <v/>
      </c>
    </row>
    <row r="1667" spans="1:1" x14ac:dyDescent="0.2">
      <c r="A1667" s="1" t="str">
        <f t="shared" si="25"/>
        <v/>
      </c>
    </row>
    <row r="1668" spans="1:1" x14ac:dyDescent="0.2">
      <c r="A1668" s="1" t="str">
        <f t="shared" si="25"/>
        <v/>
      </c>
    </row>
    <row r="1669" spans="1:1" x14ac:dyDescent="0.2">
      <c r="A1669" s="1" t="str">
        <f t="shared" si="25"/>
        <v/>
      </c>
    </row>
    <row r="1670" spans="1:1" x14ac:dyDescent="0.2">
      <c r="A1670" s="1" t="str">
        <f t="shared" si="25"/>
        <v/>
      </c>
    </row>
    <row r="1671" spans="1:1" x14ac:dyDescent="0.2">
      <c r="A1671" s="1" t="str">
        <f t="shared" si="25"/>
        <v/>
      </c>
    </row>
    <row r="1672" spans="1:1" x14ac:dyDescent="0.2">
      <c r="A1672" s="1" t="str">
        <f t="shared" si="25"/>
        <v/>
      </c>
    </row>
    <row r="1673" spans="1:1" x14ac:dyDescent="0.2">
      <c r="A1673" s="1" t="str">
        <f t="shared" ref="A1673:A1736" si="26">IF($B1673&lt;&gt;"",$A1672+10,"")</f>
        <v/>
      </c>
    </row>
    <row r="1674" spans="1:1" x14ac:dyDescent="0.2">
      <c r="A1674" s="1" t="str">
        <f t="shared" si="26"/>
        <v/>
      </c>
    </row>
    <row r="1675" spans="1:1" x14ac:dyDescent="0.2">
      <c r="A1675" s="1" t="str">
        <f t="shared" si="26"/>
        <v/>
      </c>
    </row>
    <row r="1676" spans="1:1" x14ac:dyDescent="0.2">
      <c r="A1676" s="1" t="str">
        <f t="shared" si="26"/>
        <v/>
      </c>
    </row>
    <row r="1677" spans="1:1" x14ac:dyDescent="0.2">
      <c r="A1677" s="1" t="str">
        <f t="shared" si="26"/>
        <v/>
      </c>
    </row>
    <row r="1678" spans="1:1" x14ac:dyDescent="0.2">
      <c r="A1678" s="1" t="str">
        <f t="shared" si="26"/>
        <v/>
      </c>
    </row>
    <row r="1679" spans="1:1" x14ac:dyDescent="0.2">
      <c r="A1679" s="1" t="str">
        <f t="shared" si="26"/>
        <v/>
      </c>
    </row>
    <row r="1680" spans="1:1" x14ac:dyDescent="0.2">
      <c r="A1680" s="1" t="str">
        <f t="shared" si="26"/>
        <v/>
      </c>
    </row>
    <row r="1681" spans="1:1" x14ac:dyDescent="0.2">
      <c r="A1681" s="1" t="str">
        <f t="shared" si="26"/>
        <v/>
      </c>
    </row>
    <row r="1682" spans="1:1" x14ac:dyDescent="0.2">
      <c r="A1682" s="1" t="str">
        <f t="shared" si="26"/>
        <v/>
      </c>
    </row>
    <row r="1683" spans="1:1" x14ac:dyDescent="0.2">
      <c r="A1683" s="1" t="str">
        <f t="shared" si="26"/>
        <v/>
      </c>
    </row>
    <row r="1684" spans="1:1" x14ac:dyDescent="0.2">
      <c r="A1684" s="1" t="str">
        <f t="shared" si="26"/>
        <v/>
      </c>
    </row>
    <row r="1685" spans="1:1" x14ac:dyDescent="0.2">
      <c r="A1685" s="1" t="str">
        <f t="shared" si="26"/>
        <v/>
      </c>
    </row>
    <row r="1686" spans="1:1" x14ac:dyDescent="0.2">
      <c r="A1686" s="1" t="str">
        <f t="shared" si="26"/>
        <v/>
      </c>
    </row>
    <row r="1687" spans="1:1" x14ac:dyDescent="0.2">
      <c r="A1687" s="1" t="str">
        <f t="shared" si="26"/>
        <v/>
      </c>
    </row>
    <row r="1688" spans="1:1" x14ac:dyDescent="0.2">
      <c r="A1688" s="1" t="str">
        <f t="shared" si="26"/>
        <v/>
      </c>
    </row>
    <row r="1689" spans="1:1" x14ac:dyDescent="0.2">
      <c r="A1689" s="1" t="str">
        <f t="shared" si="26"/>
        <v/>
      </c>
    </row>
    <row r="1690" spans="1:1" x14ac:dyDescent="0.2">
      <c r="A1690" s="1" t="str">
        <f t="shared" si="26"/>
        <v/>
      </c>
    </row>
    <row r="1691" spans="1:1" x14ac:dyDescent="0.2">
      <c r="A1691" s="1" t="str">
        <f t="shared" si="26"/>
        <v/>
      </c>
    </row>
    <row r="1692" spans="1:1" x14ac:dyDescent="0.2">
      <c r="A1692" s="1" t="str">
        <f t="shared" si="26"/>
        <v/>
      </c>
    </row>
    <row r="1693" spans="1:1" x14ac:dyDescent="0.2">
      <c r="A1693" s="1" t="str">
        <f t="shared" si="26"/>
        <v/>
      </c>
    </row>
    <row r="1694" spans="1:1" x14ac:dyDescent="0.2">
      <c r="A1694" s="1" t="str">
        <f t="shared" si="26"/>
        <v/>
      </c>
    </row>
    <row r="1695" spans="1:1" x14ac:dyDescent="0.2">
      <c r="A1695" s="1" t="str">
        <f t="shared" si="26"/>
        <v/>
      </c>
    </row>
    <row r="1696" spans="1:1" x14ac:dyDescent="0.2">
      <c r="A1696" s="1" t="str">
        <f t="shared" si="26"/>
        <v/>
      </c>
    </row>
    <row r="1697" spans="1:1" x14ac:dyDescent="0.2">
      <c r="A1697" s="1" t="str">
        <f t="shared" si="26"/>
        <v/>
      </c>
    </row>
    <row r="1698" spans="1:1" x14ac:dyDescent="0.2">
      <c r="A1698" s="1" t="str">
        <f t="shared" si="26"/>
        <v/>
      </c>
    </row>
    <row r="1699" spans="1:1" x14ac:dyDescent="0.2">
      <c r="A1699" s="1" t="str">
        <f t="shared" si="26"/>
        <v/>
      </c>
    </row>
    <row r="1700" spans="1:1" x14ac:dyDescent="0.2">
      <c r="A1700" s="1" t="str">
        <f t="shared" si="26"/>
        <v/>
      </c>
    </row>
    <row r="1701" spans="1:1" x14ac:dyDescent="0.2">
      <c r="A1701" s="1" t="str">
        <f t="shared" si="26"/>
        <v/>
      </c>
    </row>
    <row r="1702" spans="1:1" x14ac:dyDescent="0.2">
      <c r="A1702" s="1" t="str">
        <f t="shared" si="26"/>
        <v/>
      </c>
    </row>
    <row r="1703" spans="1:1" x14ac:dyDescent="0.2">
      <c r="A1703" s="1" t="str">
        <f t="shared" si="26"/>
        <v/>
      </c>
    </row>
    <row r="1704" spans="1:1" x14ac:dyDescent="0.2">
      <c r="A1704" s="1" t="str">
        <f t="shared" si="26"/>
        <v/>
      </c>
    </row>
    <row r="1705" spans="1:1" x14ac:dyDescent="0.2">
      <c r="A1705" s="1" t="str">
        <f t="shared" si="26"/>
        <v/>
      </c>
    </row>
    <row r="1706" spans="1:1" x14ac:dyDescent="0.2">
      <c r="A1706" s="1" t="str">
        <f t="shared" si="26"/>
        <v/>
      </c>
    </row>
    <row r="1707" spans="1:1" x14ac:dyDescent="0.2">
      <c r="A1707" s="1" t="str">
        <f t="shared" si="26"/>
        <v/>
      </c>
    </row>
    <row r="1708" spans="1:1" x14ac:dyDescent="0.2">
      <c r="A1708" s="1" t="str">
        <f t="shared" si="26"/>
        <v/>
      </c>
    </row>
    <row r="1709" spans="1:1" x14ac:dyDescent="0.2">
      <c r="A1709" s="1" t="str">
        <f t="shared" si="26"/>
        <v/>
      </c>
    </row>
    <row r="1710" spans="1:1" x14ac:dyDescent="0.2">
      <c r="A1710" s="1" t="str">
        <f t="shared" si="26"/>
        <v/>
      </c>
    </row>
    <row r="1711" spans="1:1" x14ac:dyDescent="0.2">
      <c r="A1711" s="1" t="str">
        <f t="shared" si="26"/>
        <v/>
      </c>
    </row>
    <row r="1712" spans="1:1" x14ac:dyDescent="0.2">
      <c r="A1712" s="1" t="str">
        <f t="shared" si="26"/>
        <v/>
      </c>
    </row>
    <row r="1713" spans="1:1" x14ac:dyDescent="0.2">
      <c r="A1713" s="1" t="str">
        <f t="shared" si="26"/>
        <v/>
      </c>
    </row>
    <row r="1714" spans="1:1" x14ac:dyDescent="0.2">
      <c r="A1714" s="1" t="str">
        <f t="shared" si="26"/>
        <v/>
      </c>
    </row>
    <row r="1715" spans="1:1" x14ac:dyDescent="0.2">
      <c r="A1715" s="1" t="str">
        <f t="shared" si="26"/>
        <v/>
      </c>
    </row>
    <row r="1716" spans="1:1" x14ac:dyDescent="0.2">
      <c r="A1716" s="1" t="str">
        <f t="shared" si="26"/>
        <v/>
      </c>
    </row>
    <row r="1717" spans="1:1" x14ac:dyDescent="0.2">
      <c r="A1717" s="1" t="str">
        <f t="shared" si="26"/>
        <v/>
      </c>
    </row>
    <row r="1718" spans="1:1" x14ac:dyDescent="0.2">
      <c r="A1718" s="1" t="str">
        <f t="shared" si="26"/>
        <v/>
      </c>
    </row>
    <row r="1719" spans="1:1" x14ac:dyDescent="0.2">
      <c r="A1719" s="1" t="str">
        <f t="shared" si="26"/>
        <v/>
      </c>
    </row>
    <row r="1720" spans="1:1" x14ac:dyDescent="0.2">
      <c r="A1720" s="1" t="str">
        <f t="shared" si="26"/>
        <v/>
      </c>
    </row>
    <row r="1721" spans="1:1" x14ac:dyDescent="0.2">
      <c r="A1721" s="1" t="str">
        <f t="shared" si="26"/>
        <v/>
      </c>
    </row>
    <row r="1722" spans="1:1" x14ac:dyDescent="0.2">
      <c r="A1722" s="1" t="str">
        <f t="shared" si="26"/>
        <v/>
      </c>
    </row>
    <row r="1723" spans="1:1" x14ac:dyDescent="0.2">
      <c r="A1723" s="1" t="str">
        <f t="shared" si="26"/>
        <v/>
      </c>
    </row>
    <row r="1724" spans="1:1" x14ac:dyDescent="0.2">
      <c r="A1724" s="1" t="str">
        <f t="shared" si="26"/>
        <v/>
      </c>
    </row>
    <row r="1725" spans="1:1" x14ac:dyDescent="0.2">
      <c r="A1725" s="1" t="str">
        <f t="shared" si="26"/>
        <v/>
      </c>
    </row>
    <row r="1726" spans="1:1" x14ac:dyDescent="0.2">
      <c r="A1726" s="1" t="str">
        <f t="shared" si="26"/>
        <v/>
      </c>
    </row>
    <row r="1727" spans="1:1" x14ac:dyDescent="0.2">
      <c r="A1727" s="1" t="str">
        <f t="shared" si="26"/>
        <v/>
      </c>
    </row>
    <row r="1728" spans="1:1" x14ac:dyDescent="0.2">
      <c r="A1728" s="1" t="str">
        <f t="shared" si="26"/>
        <v/>
      </c>
    </row>
    <row r="1729" spans="1:1" x14ac:dyDescent="0.2">
      <c r="A1729" s="1" t="str">
        <f t="shared" si="26"/>
        <v/>
      </c>
    </row>
    <row r="1730" spans="1:1" x14ac:dyDescent="0.2">
      <c r="A1730" s="1" t="str">
        <f t="shared" si="26"/>
        <v/>
      </c>
    </row>
    <row r="1731" spans="1:1" x14ac:dyDescent="0.2">
      <c r="A1731" s="1" t="str">
        <f t="shared" si="26"/>
        <v/>
      </c>
    </row>
    <row r="1732" spans="1:1" x14ac:dyDescent="0.2">
      <c r="A1732" s="1" t="str">
        <f t="shared" si="26"/>
        <v/>
      </c>
    </row>
    <row r="1733" spans="1:1" x14ac:dyDescent="0.2">
      <c r="A1733" s="1" t="str">
        <f t="shared" si="26"/>
        <v/>
      </c>
    </row>
    <row r="1734" spans="1:1" x14ac:dyDescent="0.2">
      <c r="A1734" s="1" t="str">
        <f t="shared" si="26"/>
        <v/>
      </c>
    </row>
    <row r="1735" spans="1:1" x14ac:dyDescent="0.2">
      <c r="A1735" s="1" t="str">
        <f t="shared" si="26"/>
        <v/>
      </c>
    </row>
    <row r="1736" spans="1:1" x14ac:dyDescent="0.2">
      <c r="A1736" s="1" t="str">
        <f t="shared" si="26"/>
        <v/>
      </c>
    </row>
    <row r="1737" spans="1:1" x14ac:dyDescent="0.2">
      <c r="A1737" s="1" t="str">
        <f t="shared" ref="A1737:A1800" si="27">IF($B1737&lt;&gt;"",$A1736+10,"")</f>
        <v/>
      </c>
    </row>
    <row r="1738" spans="1:1" x14ac:dyDescent="0.2">
      <c r="A1738" s="1" t="str">
        <f t="shared" si="27"/>
        <v/>
      </c>
    </row>
    <row r="1739" spans="1:1" x14ac:dyDescent="0.2">
      <c r="A1739" s="1" t="str">
        <f t="shared" si="27"/>
        <v/>
      </c>
    </row>
    <row r="1740" spans="1:1" x14ac:dyDescent="0.2">
      <c r="A1740" s="1" t="str">
        <f t="shared" si="27"/>
        <v/>
      </c>
    </row>
    <row r="1741" spans="1:1" x14ac:dyDescent="0.2">
      <c r="A1741" s="1" t="str">
        <f t="shared" si="27"/>
        <v/>
      </c>
    </row>
    <row r="1742" spans="1:1" x14ac:dyDescent="0.2">
      <c r="A1742" s="1" t="str">
        <f t="shared" si="27"/>
        <v/>
      </c>
    </row>
    <row r="1743" spans="1:1" x14ac:dyDescent="0.2">
      <c r="A1743" s="1" t="str">
        <f t="shared" si="27"/>
        <v/>
      </c>
    </row>
    <row r="1744" spans="1:1" x14ac:dyDescent="0.2">
      <c r="A1744" s="1" t="str">
        <f t="shared" si="27"/>
        <v/>
      </c>
    </row>
    <row r="1745" spans="1:1" x14ac:dyDescent="0.2">
      <c r="A1745" s="1" t="str">
        <f t="shared" si="27"/>
        <v/>
      </c>
    </row>
    <row r="1746" spans="1:1" x14ac:dyDescent="0.2">
      <c r="A1746" s="1" t="str">
        <f t="shared" si="27"/>
        <v/>
      </c>
    </row>
    <row r="1747" spans="1:1" x14ac:dyDescent="0.2">
      <c r="A1747" s="1" t="str">
        <f t="shared" si="27"/>
        <v/>
      </c>
    </row>
    <row r="1748" spans="1:1" x14ac:dyDescent="0.2">
      <c r="A1748" s="1" t="str">
        <f t="shared" si="27"/>
        <v/>
      </c>
    </row>
    <row r="1749" spans="1:1" x14ac:dyDescent="0.2">
      <c r="A1749" s="1" t="str">
        <f t="shared" si="27"/>
        <v/>
      </c>
    </row>
    <row r="1750" spans="1:1" x14ac:dyDescent="0.2">
      <c r="A1750" s="1" t="str">
        <f t="shared" si="27"/>
        <v/>
      </c>
    </row>
    <row r="1751" spans="1:1" x14ac:dyDescent="0.2">
      <c r="A1751" s="1" t="str">
        <f t="shared" si="27"/>
        <v/>
      </c>
    </row>
    <row r="1752" spans="1:1" x14ac:dyDescent="0.2">
      <c r="A1752" s="1" t="str">
        <f t="shared" si="27"/>
        <v/>
      </c>
    </row>
    <row r="1753" spans="1:1" x14ac:dyDescent="0.2">
      <c r="A1753" s="1" t="str">
        <f t="shared" si="27"/>
        <v/>
      </c>
    </row>
    <row r="1754" spans="1:1" x14ac:dyDescent="0.2">
      <c r="A1754" s="1" t="str">
        <f t="shared" si="27"/>
        <v/>
      </c>
    </row>
    <row r="1755" spans="1:1" x14ac:dyDescent="0.2">
      <c r="A1755" s="1" t="str">
        <f t="shared" si="27"/>
        <v/>
      </c>
    </row>
    <row r="1756" spans="1:1" x14ac:dyDescent="0.2">
      <c r="A1756" s="1" t="str">
        <f t="shared" si="27"/>
        <v/>
      </c>
    </row>
    <row r="1757" spans="1:1" x14ac:dyDescent="0.2">
      <c r="A1757" s="1" t="str">
        <f t="shared" si="27"/>
        <v/>
      </c>
    </row>
    <row r="1758" spans="1:1" x14ac:dyDescent="0.2">
      <c r="A1758" s="1" t="str">
        <f t="shared" si="27"/>
        <v/>
      </c>
    </row>
    <row r="1759" spans="1:1" x14ac:dyDescent="0.2">
      <c r="A1759" s="1" t="str">
        <f t="shared" si="27"/>
        <v/>
      </c>
    </row>
    <row r="1760" spans="1:1" x14ac:dyDescent="0.2">
      <c r="A1760" s="1" t="str">
        <f t="shared" si="27"/>
        <v/>
      </c>
    </row>
    <row r="1761" spans="1:1" x14ac:dyDescent="0.2">
      <c r="A1761" s="1" t="str">
        <f t="shared" si="27"/>
        <v/>
      </c>
    </row>
    <row r="1762" spans="1:1" x14ac:dyDescent="0.2">
      <c r="A1762" s="1" t="str">
        <f t="shared" si="27"/>
        <v/>
      </c>
    </row>
    <row r="1763" spans="1:1" x14ac:dyDescent="0.2">
      <c r="A1763" s="1" t="str">
        <f t="shared" si="27"/>
        <v/>
      </c>
    </row>
    <row r="1764" spans="1:1" x14ac:dyDescent="0.2">
      <c r="A1764" s="1" t="str">
        <f t="shared" si="27"/>
        <v/>
      </c>
    </row>
    <row r="1765" spans="1:1" x14ac:dyDescent="0.2">
      <c r="A1765" s="1" t="str">
        <f t="shared" si="27"/>
        <v/>
      </c>
    </row>
    <row r="1766" spans="1:1" x14ac:dyDescent="0.2">
      <c r="A1766" s="1" t="str">
        <f t="shared" si="27"/>
        <v/>
      </c>
    </row>
    <row r="1767" spans="1:1" x14ac:dyDescent="0.2">
      <c r="A1767" s="1" t="str">
        <f t="shared" si="27"/>
        <v/>
      </c>
    </row>
    <row r="1768" spans="1:1" x14ac:dyDescent="0.2">
      <c r="A1768" s="1" t="str">
        <f t="shared" si="27"/>
        <v/>
      </c>
    </row>
    <row r="1769" spans="1:1" x14ac:dyDescent="0.2">
      <c r="A1769" s="1" t="str">
        <f t="shared" si="27"/>
        <v/>
      </c>
    </row>
    <row r="1770" spans="1:1" x14ac:dyDescent="0.2">
      <c r="A1770" s="1" t="str">
        <f t="shared" si="27"/>
        <v/>
      </c>
    </row>
    <row r="1771" spans="1:1" x14ac:dyDescent="0.2">
      <c r="A1771" s="1" t="str">
        <f t="shared" si="27"/>
        <v/>
      </c>
    </row>
    <row r="1772" spans="1:1" x14ac:dyDescent="0.2">
      <c r="A1772" s="1" t="str">
        <f t="shared" si="27"/>
        <v/>
      </c>
    </row>
    <row r="1773" spans="1:1" x14ac:dyDescent="0.2">
      <c r="A1773" s="1" t="str">
        <f t="shared" si="27"/>
        <v/>
      </c>
    </row>
    <row r="1774" spans="1:1" x14ac:dyDescent="0.2">
      <c r="A1774" s="1" t="str">
        <f t="shared" si="27"/>
        <v/>
      </c>
    </row>
    <row r="1775" spans="1:1" x14ac:dyDescent="0.2">
      <c r="A1775" s="1" t="str">
        <f t="shared" si="27"/>
        <v/>
      </c>
    </row>
    <row r="1776" spans="1:1" x14ac:dyDescent="0.2">
      <c r="A1776" s="1" t="str">
        <f t="shared" si="27"/>
        <v/>
      </c>
    </row>
    <row r="1777" spans="1:1" x14ac:dyDescent="0.2">
      <c r="A1777" s="1" t="str">
        <f t="shared" si="27"/>
        <v/>
      </c>
    </row>
    <row r="1778" spans="1:1" x14ac:dyDescent="0.2">
      <c r="A1778" s="1" t="str">
        <f t="shared" si="27"/>
        <v/>
      </c>
    </row>
    <row r="1779" spans="1:1" x14ac:dyDescent="0.2">
      <c r="A1779" s="1" t="str">
        <f t="shared" si="27"/>
        <v/>
      </c>
    </row>
    <row r="1780" spans="1:1" x14ac:dyDescent="0.2">
      <c r="A1780" s="1" t="str">
        <f t="shared" si="27"/>
        <v/>
      </c>
    </row>
    <row r="1781" spans="1:1" x14ac:dyDescent="0.2">
      <c r="A1781" s="1" t="str">
        <f t="shared" si="27"/>
        <v/>
      </c>
    </row>
    <row r="1782" spans="1:1" x14ac:dyDescent="0.2">
      <c r="A1782" s="1" t="str">
        <f t="shared" si="27"/>
        <v/>
      </c>
    </row>
    <row r="1783" spans="1:1" x14ac:dyDescent="0.2">
      <c r="A1783" s="1" t="str">
        <f t="shared" si="27"/>
        <v/>
      </c>
    </row>
    <row r="1784" spans="1:1" x14ac:dyDescent="0.2">
      <c r="A1784" s="1" t="str">
        <f t="shared" si="27"/>
        <v/>
      </c>
    </row>
    <row r="1785" spans="1:1" x14ac:dyDescent="0.2">
      <c r="A1785" s="1" t="str">
        <f t="shared" si="27"/>
        <v/>
      </c>
    </row>
    <row r="1786" spans="1:1" x14ac:dyDescent="0.2">
      <c r="A1786" s="1" t="str">
        <f t="shared" si="27"/>
        <v/>
      </c>
    </row>
    <row r="1787" spans="1:1" x14ac:dyDescent="0.2">
      <c r="A1787" s="1" t="str">
        <f t="shared" si="27"/>
        <v/>
      </c>
    </row>
    <row r="1788" spans="1:1" x14ac:dyDescent="0.2">
      <c r="A1788" s="1" t="str">
        <f t="shared" si="27"/>
        <v/>
      </c>
    </row>
    <row r="1789" spans="1:1" x14ac:dyDescent="0.2">
      <c r="A1789" s="1" t="str">
        <f t="shared" si="27"/>
        <v/>
      </c>
    </row>
    <row r="1790" spans="1:1" x14ac:dyDescent="0.2">
      <c r="A1790" s="1" t="str">
        <f t="shared" si="27"/>
        <v/>
      </c>
    </row>
    <row r="1791" spans="1:1" x14ac:dyDescent="0.2">
      <c r="A1791" s="1" t="str">
        <f t="shared" si="27"/>
        <v/>
      </c>
    </row>
    <row r="1792" spans="1:1" x14ac:dyDescent="0.2">
      <c r="A1792" s="1" t="str">
        <f t="shared" si="27"/>
        <v/>
      </c>
    </row>
    <row r="1793" spans="1:1" x14ac:dyDescent="0.2">
      <c r="A1793" s="1" t="str">
        <f t="shared" si="27"/>
        <v/>
      </c>
    </row>
    <row r="1794" spans="1:1" x14ac:dyDescent="0.2">
      <c r="A1794" s="1" t="str">
        <f t="shared" si="27"/>
        <v/>
      </c>
    </row>
    <row r="1795" spans="1:1" x14ac:dyDescent="0.2">
      <c r="A1795" s="1" t="str">
        <f t="shared" si="27"/>
        <v/>
      </c>
    </row>
    <row r="1796" spans="1:1" x14ac:dyDescent="0.2">
      <c r="A1796" s="1" t="str">
        <f t="shared" si="27"/>
        <v/>
      </c>
    </row>
    <row r="1797" spans="1:1" x14ac:dyDescent="0.2">
      <c r="A1797" s="1" t="str">
        <f t="shared" si="27"/>
        <v/>
      </c>
    </row>
    <row r="1798" spans="1:1" x14ac:dyDescent="0.2">
      <c r="A1798" s="1" t="str">
        <f t="shared" si="27"/>
        <v/>
      </c>
    </row>
    <row r="1799" spans="1:1" x14ac:dyDescent="0.2">
      <c r="A1799" s="1" t="str">
        <f t="shared" si="27"/>
        <v/>
      </c>
    </row>
    <row r="1800" spans="1:1" x14ac:dyDescent="0.2">
      <c r="A1800" s="1" t="str">
        <f t="shared" si="27"/>
        <v/>
      </c>
    </row>
    <row r="1801" spans="1:1" x14ac:dyDescent="0.2">
      <c r="A1801" s="1" t="str">
        <f t="shared" ref="A1801:A1864" si="28">IF($B1801&lt;&gt;"",$A1800+10,"")</f>
        <v/>
      </c>
    </row>
    <row r="1802" spans="1:1" x14ac:dyDescent="0.2">
      <c r="A1802" s="1" t="str">
        <f t="shared" si="28"/>
        <v/>
      </c>
    </row>
    <row r="1803" spans="1:1" x14ac:dyDescent="0.2">
      <c r="A1803" s="1" t="str">
        <f t="shared" si="28"/>
        <v/>
      </c>
    </row>
    <row r="1804" spans="1:1" x14ac:dyDescent="0.2">
      <c r="A1804" s="1" t="str">
        <f t="shared" si="28"/>
        <v/>
      </c>
    </row>
    <row r="1805" spans="1:1" x14ac:dyDescent="0.2">
      <c r="A1805" s="1" t="str">
        <f t="shared" si="28"/>
        <v/>
      </c>
    </row>
    <row r="1806" spans="1:1" x14ac:dyDescent="0.2">
      <c r="A1806" s="1" t="str">
        <f t="shared" si="28"/>
        <v/>
      </c>
    </row>
    <row r="1807" spans="1:1" x14ac:dyDescent="0.2">
      <c r="A1807" s="1" t="str">
        <f t="shared" si="28"/>
        <v/>
      </c>
    </row>
    <row r="1808" spans="1:1" x14ac:dyDescent="0.2">
      <c r="A1808" s="1" t="str">
        <f t="shared" si="28"/>
        <v/>
      </c>
    </row>
    <row r="1809" spans="1:1" x14ac:dyDescent="0.2">
      <c r="A1809" s="1" t="str">
        <f t="shared" si="28"/>
        <v/>
      </c>
    </row>
    <row r="1810" spans="1:1" x14ac:dyDescent="0.2">
      <c r="A1810" s="1" t="str">
        <f t="shared" si="28"/>
        <v/>
      </c>
    </row>
    <row r="1811" spans="1:1" x14ac:dyDescent="0.2">
      <c r="A1811" s="1" t="str">
        <f t="shared" si="28"/>
        <v/>
      </c>
    </row>
    <row r="1812" spans="1:1" x14ac:dyDescent="0.2">
      <c r="A1812" s="1" t="str">
        <f t="shared" si="28"/>
        <v/>
      </c>
    </row>
    <row r="1813" spans="1:1" x14ac:dyDescent="0.2">
      <c r="A1813" s="1" t="str">
        <f t="shared" si="28"/>
        <v/>
      </c>
    </row>
    <row r="1814" spans="1:1" x14ac:dyDescent="0.2">
      <c r="A1814" s="1" t="str">
        <f t="shared" si="28"/>
        <v/>
      </c>
    </row>
    <row r="1815" spans="1:1" x14ac:dyDescent="0.2">
      <c r="A1815" s="1" t="str">
        <f t="shared" si="28"/>
        <v/>
      </c>
    </row>
    <row r="1816" spans="1:1" x14ac:dyDescent="0.2">
      <c r="A1816" s="1" t="str">
        <f t="shared" si="28"/>
        <v/>
      </c>
    </row>
    <row r="1817" spans="1:1" x14ac:dyDescent="0.2">
      <c r="A1817" s="1" t="str">
        <f t="shared" si="28"/>
        <v/>
      </c>
    </row>
    <row r="1818" spans="1:1" x14ac:dyDescent="0.2">
      <c r="A1818" s="1" t="str">
        <f t="shared" si="28"/>
        <v/>
      </c>
    </row>
    <row r="1819" spans="1:1" x14ac:dyDescent="0.2">
      <c r="A1819" s="1" t="str">
        <f t="shared" si="28"/>
        <v/>
      </c>
    </row>
    <row r="1820" spans="1:1" x14ac:dyDescent="0.2">
      <c r="A1820" s="1" t="str">
        <f t="shared" si="28"/>
        <v/>
      </c>
    </row>
    <row r="1821" spans="1:1" x14ac:dyDescent="0.2">
      <c r="A1821" s="1" t="str">
        <f t="shared" si="28"/>
        <v/>
      </c>
    </row>
    <row r="1822" spans="1:1" x14ac:dyDescent="0.2">
      <c r="A1822" s="1" t="str">
        <f t="shared" si="28"/>
        <v/>
      </c>
    </row>
    <row r="1823" spans="1:1" x14ac:dyDescent="0.2">
      <c r="A1823" s="1" t="str">
        <f t="shared" si="28"/>
        <v/>
      </c>
    </row>
    <row r="1824" spans="1:1" x14ac:dyDescent="0.2">
      <c r="A1824" s="1" t="str">
        <f t="shared" si="28"/>
        <v/>
      </c>
    </row>
    <row r="1825" spans="1:1" x14ac:dyDescent="0.2">
      <c r="A1825" s="1" t="str">
        <f t="shared" si="28"/>
        <v/>
      </c>
    </row>
    <row r="1826" spans="1:1" x14ac:dyDescent="0.2">
      <c r="A1826" s="1" t="str">
        <f t="shared" si="28"/>
        <v/>
      </c>
    </row>
    <row r="1827" spans="1:1" x14ac:dyDescent="0.2">
      <c r="A1827" s="1" t="str">
        <f t="shared" si="28"/>
        <v/>
      </c>
    </row>
    <row r="1828" spans="1:1" x14ac:dyDescent="0.2">
      <c r="A1828" s="1" t="str">
        <f t="shared" si="28"/>
        <v/>
      </c>
    </row>
    <row r="1829" spans="1:1" x14ac:dyDescent="0.2">
      <c r="A1829" s="1" t="str">
        <f t="shared" si="28"/>
        <v/>
      </c>
    </row>
    <row r="1830" spans="1:1" x14ac:dyDescent="0.2">
      <c r="A1830" s="1" t="str">
        <f t="shared" si="28"/>
        <v/>
      </c>
    </row>
    <row r="1831" spans="1:1" x14ac:dyDescent="0.2">
      <c r="A1831" s="1" t="str">
        <f t="shared" si="28"/>
        <v/>
      </c>
    </row>
    <row r="1832" spans="1:1" x14ac:dyDescent="0.2">
      <c r="A1832" s="1" t="str">
        <f t="shared" si="28"/>
        <v/>
      </c>
    </row>
    <row r="1833" spans="1:1" x14ac:dyDescent="0.2">
      <c r="A1833" s="1" t="str">
        <f t="shared" si="28"/>
        <v/>
      </c>
    </row>
    <row r="1834" spans="1:1" x14ac:dyDescent="0.2">
      <c r="A1834" s="1" t="str">
        <f t="shared" si="28"/>
        <v/>
      </c>
    </row>
    <row r="1835" spans="1:1" x14ac:dyDescent="0.2">
      <c r="A1835" s="1" t="str">
        <f t="shared" si="28"/>
        <v/>
      </c>
    </row>
    <row r="1836" spans="1:1" x14ac:dyDescent="0.2">
      <c r="A1836" s="1" t="str">
        <f t="shared" si="28"/>
        <v/>
      </c>
    </row>
    <row r="1837" spans="1:1" x14ac:dyDescent="0.2">
      <c r="A1837" s="1" t="str">
        <f t="shared" si="28"/>
        <v/>
      </c>
    </row>
    <row r="1838" spans="1:1" x14ac:dyDescent="0.2">
      <c r="A1838" s="1" t="str">
        <f t="shared" si="28"/>
        <v/>
      </c>
    </row>
    <row r="1839" spans="1:1" x14ac:dyDescent="0.2">
      <c r="A1839" s="1" t="str">
        <f t="shared" si="28"/>
        <v/>
      </c>
    </row>
    <row r="1840" spans="1:1" x14ac:dyDescent="0.2">
      <c r="A1840" s="1" t="str">
        <f t="shared" si="28"/>
        <v/>
      </c>
    </row>
    <row r="1841" spans="1:1" x14ac:dyDescent="0.2">
      <c r="A1841" s="1" t="str">
        <f t="shared" si="28"/>
        <v/>
      </c>
    </row>
    <row r="1842" spans="1:1" x14ac:dyDescent="0.2">
      <c r="A1842" s="1" t="str">
        <f t="shared" si="28"/>
        <v/>
      </c>
    </row>
    <row r="1843" spans="1:1" x14ac:dyDescent="0.2">
      <c r="A1843" s="1" t="str">
        <f t="shared" si="28"/>
        <v/>
      </c>
    </row>
    <row r="1844" spans="1:1" x14ac:dyDescent="0.2">
      <c r="A1844" s="1" t="str">
        <f t="shared" si="28"/>
        <v/>
      </c>
    </row>
    <row r="1845" spans="1:1" x14ac:dyDescent="0.2">
      <c r="A1845" s="1" t="str">
        <f t="shared" si="28"/>
        <v/>
      </c>
    </row>
    <row r="1846" spans="1:1" x14ac:dyDescent="0.2">
      <c r="A1846" s="1" t="str">
        <f t="shared" si="28"/>
        <v/>
      </c>
    </row>
    <row r="1847" spans="1:1" x14ac:dyDescent="0.2">
      <c r="A1847" s="1" t="str">
        <f t="shared" si="28"/>
        <v/>
      </c>
    </row>
    <row r="1848" spans="1:1" x14ac:dyDescent="0.2">
      <c r="A1848" s="1" t="str">
        <f t="shared" si="28"/>
        <v/>
      </c>
    </row>
    <row r="1849" spans="1:1" x14ac:dyDescent="0.2">
      <c r="A1849" s="1" t="str">
        <f t="shared" si="28"/>
        <v/>
      </c>
    </row>
    <row r="1850" spans="1:1" x14ac:dyDescent="0.2">
      <c r="A1850" s="1" t="str">
        <f t="shared" si="28"/>
        <v/>
      </c>
    </row>
    <row r="1851" spans="1:1" x14ac:dyDescent="0.2">
      <c r="A1851" s="1" t="str">
        <f t="shared" si="28"/>
        <v/>
      </c>
    </row>
    <row r="1852" spans="1:1" x14ac:dyDescent="0.2">
      <c r="A1852" s="1" t="str">
        <f t="shared" si="28"/>
        <v/>
      </c>
    </row>
    <row r="1853" spans="1:1" x14ac:dyDescent="0.2">
      <c r="A1853" s="1" t="str">
        <f t="shared" si="28"/>
        <v/>
      </c>
    </row>
    <row r="1854" spans="1:1" x14ac:dyDescent="0.2">
      <c r="A1854" s="1" t="str">
        <f t="shared" si="28"/>
        <v/>
      </c>
    </row>
    <row r="1855" spans="1:1" x14ac:dyDescent="0.2">
      <c r="A1855" s="1" t="str">
        <f t="shared" si="28"/>
        <v/>
      </c>
    </row>
    <row r="1856" spans="1:1" x14ac:dyDescent="0.2">
      <c r="A1856" s="1" t="str">
        <f t="shared" si="28"/>
        <v/>
      </c>
    </row>
    <row r="1857" spans="1:1" x14ac:dyDescent="0.2">
      <c r="A1857" s="1" t="str">
        <f t="shared" si="28"/>
        <v/>
      </c>
    </row>
    <row r="1858" spans="1:1" x14ac:dyDescent="0.2">
      <c r="A1858" s="1" t="str">
        <f t="shared" si="28"/>
        <v/>
      </c>
    </row>
    <row r="1859" spans="1:1" x14ac:dyDescent="0.2">
      <c r="A1859" s="1" t="str">
        <f t="shared" si="28"/>
        <v/>
      </c>
    </row>
    <row r="1860" spans="1:1" x14ac:dyDescent="0.2">
      <c r="A1860" s="1" t="str">
        <f t="shared" si="28"/>
        <v/>
      </c>
    </row>
    <row r="1861" spans="1:1" x14ac:dyDescent="0.2">
      <c r="A1861" s="1" t="str">
        <f t="shared" si="28"/>
        <v/>
      </c>
    </row>
    <row r="1862" spans="1:1" x14ac:dyDescent="0.2">
      <c r="A1862" s="1" t="str">
        <f t="shared" si="28"/>
        <v/>
      </c>
    </row>
    <row r="1863" spans="1:1" x14ac:dyDescent="0.2">
      <c r="A1863" s="1" t="str">
        <f t="shared" si="28"/>
        <v/>
      </c>
    </row>
    <row r="1864" spans="1:1" x14ac:dyDescent="0.2">
      <c r="A1864" s="1" t="str">
        <f t="shared" si="28"/>
        <v/>
      </c>
    </row>
    <row r="1865" spans="1:1" x14ac:dyDescent="0.2">
      <c r="A1865" s="1" t="str">
        <f t="shared" ref="A1865:A1928" si="29">IF($B1865&lt;&gt;"",$A1864+10,"")</f>
        <v/>
      </c>
    </row>
    <row r="1866" spans="1:1" x14ac:dyDescent="0.2">
      <c r="A1866" s="1" t="str">
        <f t="shared" si="29"/>
        <v/>
      </c>
    </row>
    <row r="1867" spans="1:1" x14ac:dyDescent="0.2">
      <c r="A1867" s="1" t="str">
        <f t="shared" si="29"/>
        <v/>
      </c>
    </row>
    <row r="1868" spans="1:1" x14ac:dyDescent="0.2">
      <c r="A1868" s="1" t="str">
        <f t="shared" si="29"/>
        <v/>
      </c>
    </row>
    <row r="1869" spans="1:1" x14ac:dyDescent="0.2">
      <c r="A1869" s="1" t="str">
        <f t="shared" si="29"/>
        <v/>
      </c>
    </row>
    <row r="1870" spans="1:1" x14ac:dyDescent="0.2">
      <c r="A1870" s="1" t="str">
        <f t="shared" si="29"/>
        <v/>
      </c>
    </row>
    <row r="1871" spans="1:1" x14ac:dyDescent="0.2">
      <c r="A1871" s="1" t="str">
        <f t="shared" si="29"/>
        <v/>
      </c>
    </row>
    <row r="1872" spans="1:1" x14ac:dyDescent="0.2">
      <c r="A1872" s="1" t="str">
        <f t="shared" si="29"/>
        <v/>
      </c>
    </row>
    <row r="1873" spans="1:1" x14ac:dyDescent="0.2">
      <c r="A1873" s="1" t="str">
        <f t="shared" si="29"/>
        <v/>
      </c>
    </row>
    <row r="1874" spans="1:1" x14ac:dyDescent="0.2">
      <c r="A1874" s="1" t="str">
        <f t="shared" si="29"/>
        <v/>
      </c>
    </row>
    <row r="1875" spans="1:1" x14ac:dyDescent="0.2">
      <c r="A1875" s="1" t="str">
        <f t="shared" si="29"/>
        <v/>
      </c>
    </row>
    <row r="1876" spans="1:1" x14ac:dyDescent="0.2">
      <c r="A1876" s="1" t="str">
        <f t="shared" si="29"/>
        <v/>
      </c>
    </row>
    <row r="1877" spans="1:1" x14ac:dyDescent="0.2">
      <c r="A1877" s="1" t="str">
        <f t="shared" si="29"/>
        <v/>
      </c>
    </row>
    <row r="1878" spans="1:1" x14ac:dyDescent="0.2">
      <c r="A1878" s="1" t="str">
        <f t="shared" si="29"/>
        <v/>
      </c>
    </row>
    <row r="1879" spans="1:1" x14ac:dyDescent="0.2">
      <c r="A1879" s="1" t="str">
        <f t="shared" si="29"/>
        <v/>
      </c>
    </row>
    <row r="1880" spans="1:1" x14ac:dyDescent="0.2">
      <c r="A1880" s="1" t="str">
        <f t="shared" si="29"/>
        <v/>
      </c>
    </row>
    <row r="1881" spans="1:1" x14ac:dyDescent="0.2">
      <c r="A1881" s="1" t="str">
        <f t="shared" si="29"/>
        <v/>
      </c>
    </row>
    <row r="1882" spans="1:1" x14ac:dyDescent="0.2">
      <c r="A1882" s="1" t="str">
        <f t="shared" si="29"/>
        <v/>
      </c>
    </row>
    <row r="1883" spans="1:1" x14ac:dyDescent="0.2">
      <c r="A1883" s="1" t="str">
        <f t="shared" si="29"/>
        <v/>
      </c>
    </row>
    <row r="1884" spans="1:1" x14ac:dyDescent="0.2">
      <c r="A1884" s="1" t="str">
        <f t="shared" si="29"/>
        <v/>
      </c>
    </row>
    <row r="1885" spans="1:1" x14ac:dyDescent="0.2">
      <c r="A1885" s="1" t="str">
        <f t="shared" si="29"/>
        <v/>
      </c>
    </row>
    <row r="1886" spans="1:1" x14ac:dyDescent="0.2">
      <c r="A1886" s="1" t="str">
        <f t="shared" si="29"/>
        <v/>
      </c>
    </row>
    <row r="1887" spans="1:1" x14ac:dyDescent="0.2">
      <c r="A1887" s="1" t="str">
        <f t="shared" si="29"/>
        <v/>
      </c>
    </row>
    <row r="1888" spans="1:1" x14ac:dyDescent="0.2">
      <c r="A1888" s="1" t="str">
        <f t="shared" si="29"/>
        <v/>
      </c>
    </row>
    <row r="1889" spans="1:1" x14ac:dyDescent="0.2">
      <c r="A1889" s="1" t="str">
        <f t="shared" si="29"/>
        <v/>
      </c>
    </row>
    <row r="1890" spans="1:1" x14ac:dyDescent="0.2">
      <c r="A1890" s="1" t="str">
        <f t="shared" si="29"/>
        <v/>
      </c>
    </row>
    <row r="1891" spans="1:1" x14ac:dyDescent="0.2">
      <c r="A1891" s="1" t="str">
        <f t="shared" si="29"/>
        <v/>
      </c>
    </row>
    <row r="1892" spans="1:1" x14ac:dyDescent="0.2">
      <c r="A1892" s="1" t="str">
        <f t="shared" si="29"/>
        <v/>
      </c>
    </row>
    <row r="1893" spans="1:1" x14ac:dyDescent="0.2">
      <c r="A1893" s="1" t="str">
        <f t="shared" si="29"/>
        <v/>
      </c>
    </row>
    <row r="1894" spans="1:1" x14ac:dyDescent="0.2">
      <c r="A1894" s="1" t="str">
        <f t="shared" si="29"/>
        <v/>
      </c>
    </row>
    <row r="1895" spans="1:1" x14ac:dyDescent="0.2">
      <c r="A1895" s="1" t="str">
        <f t="shared" si="29"/>
        <v/>
      </c>
    </row>
    <row r="1896" spans="1:1" x14ac:dyDescent="0.2">
      <c r="A1896" s="1" t="str">
        <f t="shared" si="29"/>
        <v/>
      </c>
    </row>
    <row r="1897" spans="1:1" x14ac:dyDescent="0.2">
      <c r="A1897" s="1" t="str">
        <f t="shared" si="29"/>
        <v/>
      </c>
    </row>
    <row r="1898" spans="1:1" x14ac:dyDescent="0.2">
      <c r="A1898" s="1" t="str">
        <f t="shared" si="29"/>
        <v/>
      </c>
    </row>
    <row r="1899" spans="1:1" x14ac:dyDescent="0.2">
      <c r="A1899" s="1" t="str">
        <f t="shared" si="29"/>
        <v/>
      </c>
    </row>
    <row r="1900" spans="1:1" x14ac:dyDescent="0.2">
      <c r="A1900" s="1" t="str">
        <f t="shared" si="29"/>
        <v/>
      </c>
    </row>
    <row r="1901" spans="1:1" x14ac:dyDescent="0.2">
      <c r="A1901" s="1" t="str">
        <f t="shared" si="29"/>
        <v/>
      </c>
    </row>
    <row r="1902" spans="1:1" x14ac:dyDescent="0.2">
      <c r="A1902" s="1" t="str">
        <f t="shared" si="29"/>
        <v/>
      </c>
    </row>
    <row r="1903" spans="1:1" x14ac:dyDescent="0.2">
      <c r="A1903" s="1" t="str">
        <f t="shared" si="29"/>
        <v/>
      </c>
    </row>
    <row r="1904" spans="1:1" x14ac:dyDescent="0.2">
      <c r="A1904" s="1" t="str">
        <f t="shared" si="29"/>
        <v/>
      </c>
    </row>
    <row r="1905" spans="1:1" x14ac:dyDescent="0.2">
      <c r="A1905" s="1" t="str">
        <f t="shared" si="29"/>
        <v/>
      </c>
    </row>
    <row r="1906" spans="1:1" x14ac:dyDescent="0.2">
      <c r="A1906" s="1" t="str">
        <f t="shared" si="29"/>
        <v/>
      </c>
    </row>
    <row r="1907" spans="1:1" x14ac:dyDescent="0.2">
      <c r="A1907" s="1" t="str">
        <f t="shared" si="29"/>
        <v/>
      </c>
    </row>
    <row r="1908" spans="1:1" x14ac:dyDescent="0.2">
      <c r="A1908" s="1" t="str">
        <f t="shared" si="29"/>
        <v/>
      </c>
    </row>
    <row r="1909" spans="1:1" x14ac:dyDescent="0.2">
      <c r="A1909" s="1" t="str">
        <f t="shared" si="29"/>
        <v/>
      </c>
    </row>
    <row r="1910" spans="1:1" x14ac:dyDescent="0.2">
      <c r="A1910" s="1" t="str">
        <f t="shared" si="29"/>
        <v/>
      </c>
    </row>
    <row r="1911" spans="1:1" x14ac:dyDescent="0.2">
      <c r="A1911" s="1" t="str">
        <f t="shared" si="29"/>
        <v/>
      </c>
    </row>
    <row r="1912" spans="1:1" x14ac:dyDescent="0.2">
      <c r="A1912" s="1" t="str">
        <f t="shared" si="29"/>
        <v/>
      </c>
    </row>
    <row r="1913" spans="1:1" x14ac:dyDescent="0.2">
      <c r="A1913" s="1" t="str">
        <f t="shared" si="29"/>
        <v/>
      </c>
    </row>
    <row r="1914" spans="1:1" x14ac:dyDescent="0.2">
      <c r="A1914" s="1" t="str">
        <f t="shared" si="29"/>
        <v/>
      </c>
    </row>
    <row r="1915" spans="1:1" x14ac:dyDescent="0.2">
      <c r="A1915" s="1" t="str">
        <f t="shared" si="29"/>
        <v/>
      </c>
    </row>
    <row r="1916" spans="1:1" x14ac:dyDescent="0.2">
      <c r="A1916" s="1" t="str">
        <f t="shared" si="29"/>
        <v/>
      </c>
    </row>
    <row r="1917" spans="1:1" x14ac:dyDescent="0.2">
      <c r="A1917" s="1" t="str">
        <f t="shared" si="29"/>
        <v/>
      </c>
    </row>
    <row r="1918" spans="1:1" x14ac:dyDescent="0.2">
      <c r="A1918" s="1" t="str">
        <f t="shared" si="29"/>
        <v/>
      </c>
    </row>
    <row r="1919" spans="1:1" x14ac:dyDescent="0.2">
      <c r="A1919" s="1" t="str">
        <f t="shared" si="29"/>
        <v/>
      </c>
    </row>
    <row r="1920" spans="1:1" x14ac:dyDescent="0.2">
      <c r="A1920" s="1" t="str">
        <f t="shared" si="29"/>
        <v/>
      </c>
    </row>
    <row r="1921" spans="1:1" x14ac:dyDescent="0.2">
      <c r="A1921" s="1" t="str">
        <f t="shared" si="29"/>
        <v/>
      </c>
    </row>
    <row r="1922" spans="1:1" x14ac:dyDescent="0.2">
      <c r="A1922" s="1" t="str">
        <f t="shared" si="29"/>
        <v/>
      </c>
    </row>
    <row r="1923" spans="1:1" x14ac:dyDescent="0.2">
      <c r="A1923" s="1" t="str">
        <f t="shared" si="29"/>
        <v/>
      </c>
    </row>
    <row r="1924" spans="1:1" x14ac:dyDescent="0.2">
      <c r="A1924" s="1" t="str">
        <f t="shared" si="29"/>
        <v/>
      </c>
    </row>
    <row r="1925" spans="1:1" x14ac:dyDescent="0.2">
      <c r="A1925" s="1" t="str">
        <f t="shared" si="29"/>
        <v/>
      </c>
    </row>
    <row r="1926" spans="1:1" x14ac:dyDescent="0.2">
      <c r="A1926" s="1" t="str">
        <f t="shared" si="29"/>
        <v/>
      </c>
    </row>
    <row r="1927" spans="1:1" x14ac:dyDescent="0.2">
      <c r="A1927" s="1" t="str">
        <f t="shared" si="29"/>
        <v/>
      </c>
    </row>
    <row r="1928" spans="1:1" x14ac:dyDescent="0.2">
      <c r="A1928" s="1" t="str">
        <f t="shared" si="29"/>
        <v/>
      </c>
    </row>
    <row r="1929" spans="1:1" x14ac:dyDescent="0.2">
      <c r="A1929" s="1" t="str">
        <f t="shared" ref="A1929:A1992" si="30">IF($B1929&lt;&gt;"",$A1928+10,"")</f>
        <v/>
      </c>
    </row>
    <row r="1930" spans="1:1" x14ac:dyDescent="0.2">
      <c r="A1930" s="1" t="str">
        <f t="shared" si="30"/>
        <v/>
      </c>
    </row>
    <row r="1931" spans="1:1" x14ac:dyDescent="0.2">
      <c r="A1931" s="1" t="str">
        <f t="shared" si="30"/>
        <v/>
      </c>
    </row>
    <row r="1932" spans="1:1" x14ac:dyDescent="0.2">
      <c r="A1932" s="1" t="str">
        <f t="shared" si="30"/>
        <v/>
      </c>
    </row>
    <row r="1933" spans="1:1" x14ac:dyDescent="0.2">
      <c r="A1933" s="1" t="str">
        <f t="shared" si="30"/>
        <v/>
      </c>
    </row>
    <row r="1934" spans="1:1" x14ac:dyDescent="0.2">
      <c r="A1934" s="1" t="str">
        <f t="shared" si="30"/>
        <v/>
      </c>
    </row>
    <row r="1935" spans="1:1" x14ac:dyDescent="0.2">
      <c r="A1935" s="1" t="str">
        <f t="shared" si="30"/>
        <v/>
      </c>
    </row>
    <row r="1936" spans="1:1" x14ac:dyDescent="0.2">
      <c r="A1936" s="1" t="str">
        <f t="shared" si="30"/>
        <v/>
      </c>
    </row>
    <row r="1937" spans="1:1" x14ac:dyDescent="0.2">
      <c r="A1937" s="1" t="str">
        <f t="shared" si="30"/>
        <v/>
      </c>
    </row>
    <row r="1938" spans="1:1" x14ac:dyDescent="0.2">
      <c r="A1938" s="1" t="str">
        <f t="shared" si="30"/>
        <v/>
      </c>
    </row>
    <row r="1939" spans="1:1" x14ac:dyDescent="0.2">
      <c r="A1939" s="1" t="str">
        <f t="shared" si="30"/>
        <v/>
      </c>
    </row>
    <row r="1940" spans="1:1" x14ac:dyDescent="0.2">
      <c r="A1940" s="1" t="str">
        <f t="shared" si="30"/>
        <v/>
      </c>
    </row>
    <row r="1941" spans="1:1" x14ac:dyDescent="0.2">
      <c r="A1941" s="1" t="str">
        <f t="shared" si="30"/>
        <v/>
      </c>
    </row>
    <row r="1942" spans="1:1" x14ac:dyDescent="0.2">
      <c r="A1942" s="1" t="str">
        <f t="shared" si="30"/>
        <v/>
      </c>
    </row>
    <row r="1943" spans="1:1" x14ac:dyDescent="0.2">
      <c r="A1943" s="1" t="str">
        <f t="shared" si="30"/>
        <v/>
      </c>
    </row>
    <row r="1944" spans="1:1" x14ac:dyDescent="0.2">
      <c r="A1944" s="1" t="str">
        <f t="shared" si="30"/>
        <v/>
      </c>
    </row>
    <row r="1945" spans="1:1" x14ac:dyDescent="0.2">
      <c r="A1945" s="1" t="str">
        <f t="shared" si="30"/>
        <v/>
      </c>
    </row>
    <row r="1946" spans="1:1" x14ac:dyDescent="0.2">
      <c r="A1946" s="1" t="str">
        <f t="shared" si="30"/>
        <v/>
      </c>
    </row>
    <row r="1947" spans="1:1" x14ac:dyDescent="0.2">
      <c r="A1947" s="1" t="str">
        <f t="shared" si="30"/>
        <v/>
      </c>
    </row>
    <row r="1948" spans="1:1" x14ac:dyDescent="0.2">
      <c r="A1948" s="1" t="str">
        <f t="shared" si="30"/>
        <v/>
      </c>
    </row>
    <row r="1949" spans="1:1" x14ac:dyDescent="0.2">
      <c r="A1949" s="1" t="str">
        <f t="shared" si="30"/>
        <v/>
      </c>
    </row>
    <row r="1950" spans="1:1" x14ac:dyDescent="0.2">
      <c r="A1950" s="1" t="str">
        <f t="shared" si="30"/>
        <v/>
      </c>
    </row>
    <row r="1951" spans="1:1" x14ac:dyDescent="0.2">
      <c r="A1951" s="1" t="str">
        <f t="shared" si="30"/>
        <v/>
      </c>
    </row>
    <row r="1952" spans="1:1" x14ac:dyDescent="0.2">
      <c r="A1952" s="1" t="str">
        <f t="shared" si="30"/>
        <v/>
      </c>
    </row>
    <row r="1953" spans="1:1" x14ac:dyDescent="0.2">
      <c r="A1953" s="1" t="str">
        <f t="shared" si="30"/>
        <v/>
      </c>
    </row>
    <row r="1954" spans="1:1" x14ac:dyDescent="0.2">
      <c r="A1954" s="1" t="str">
        <f t="shared" si="30"/>
        <v/>
      </c>
    </row>
    <row r="1955" spans="1:1" x14ac:dyDescent="0.2">
      <c r="A1955" s="1" t="str">
        <f t="shared" si="30"/>
        <v/>
      </c>
    </row>
    <row r="1956" spans="1:1" x14ac:dyDescent="0.2">
      <c r="A1956" s="1" t="str">
        <f t="shared" si="30"/>
        <v/>
      </c>
    </row>
    <row r="1957" spans="1:1" x14ac:dyDescent="0.2">
      <c r="A1957" s="1" t="str">
        <f t="shared" si="30"/>
        <v/>
      </c>
    </row>
    <row r="1958" spans="1:1" x14ac:dyDescent="0.2">
      <c r="A1958" s="1" t="str">
        <f t="shared" si="30"/>
        <v/>
      </c>
    </row>
    <row r="1959" spans="1:1" x14ac:dyDescent="0.2">
      <c r="A1959" s="1" t="str">
        <f t="shared" si="30"/>
        <v/>
      </c>
    </row>
    <row r="1960" spans="1:1" x14ac:dyDescent="0.2">
      <c r="A1960" s="1" t="str">
        <f t="shared" si="30"/>
        <v/>
      </c>
    </row>
    <row r="1961" spans="1:1" x14ac:dyDescent="0.2">
      <c r="A1961" s="1" t="str">
        <f t="shared" si="30"/>
        <v/>
      </c>
    </row>
    <row r="1962" spans="1:1" x14ac:dyDescent="0.2">
      <c r="A1962" s="1" t="str">
        <f t="shared" si="30"/>
        <v/>
      </c>
    </row>
    <row r="1963" spans="1:1" x14ac:dyDescent="0.2">
      <c r="A1963" s="1" t="str">
        <f t="shared" si="30"/>
        <v/>
      </c>
    </row>
    <row r="1964" spans="1:1" x14ac:dyDescent="0.2">
      <c r="A1964" s="1" t="str">
        <f t="shared" si="30"/>
        <v/>
      </c>
    </row>
    <row r="1965" spans="1:1" x14ac:dyDescent="0.2">
      <c r="A1965" s="1" t="str">
        <f t="shared" si="30"/>
        <v/>
      </c>
    </row>
    <row r="1966" spans="1:1" x14ac:dyDescent="0.2">
      <c r="A1966" s="1" t="str">
        <f t="shared" si="30"/>
        <v/>
      </c>
    </row>
    <row r="1967" spans="1:1" x14ac:dyDescent="0.2">
      <c r="A1967" s="1" t="str">
        <f t="shared" si="30"/>
        <v/>
      </c>
    </row>
    <row r="1968" spans="1:1" x14ac:dyDescent="0.2">
      <c r="A1968" s="1" t="str">
        <f t="shared" si="30"/>
        <v/>
      </c>
    </row>
    <row r="1969" spans="1:1" x14ac:dyDescent="0.2">
      <c r="A1969" s="1" t="str">
        <f t="shared" si="30"/>
        <v/>
      </c>
    </row>
    <row r="1970" spans="1:1" x14ac:dyDescent="0.2">
      <c r="A1970" s="1" t="str">
        <f t="shared" si="30"/>
        <v/>
      </c>
    </row>
    <row r="1971" spans="1:1" x14ac:dyDescent="0.2">
      <c r="A1971" s="1" t="str">
        <f t="shared" si="30"/>
        <v/>
      </c>
    </row>
    <row r="1972" spans="1:1" x14ac:dyDescent="0.2">
      <c r="A1972" s="1" t="str">
        <f t="shared" si="30"/>
        <v/>
      </c>
    </row>
    <row r="1973" spans="1:1" x14ac:dyDescent="0.2">
      <c r="A1973" s="1" t="str">
        <f t="shared" si="30"/>
        <v/>
      </c>
    </row>
    <row r="1974" spans="1:1" x14ac:dyDescent="0.2">
      <c r="A1974" s="1" t="str">
        <f t="shared" si="30"/>
        <v/>
      </c>
    </row>
    <row r="1975" spans="1:1" x14ac:dyDescent="0.2">
      <c r="A1975" s="1" t="str">
        <f t="shared" si="30"/>
        <v/>
      </c>
    </row>
    <row r="1976" spans="1:1" x14ac:dyDescent="0.2">
      <c r="A1976" s="1" t="str">
        <f t="shared" si="30"/>
        <v/>
      </c>
    </row>
    <row r="1977" spans="1:1" x14ac:dyDescent="0.2">
      <c r="A1977" s="1" t="str">
        <f t="shared" si="30"/>
        <v/>
      </c>
    </row>
    <row r="1978" spans="1:1" x14ac:dyDescent="0.2">
      <c r="A1978" s="1" t="str">
        <f t="shared" si="30"/>
        <v/>
      </c>
    </row>
    <row r="1979" spans="1:1" x14ac:dyDescent="0.2">
      <c r="A1979" s="1" t="str">
        <f t="shared" si="30"/>
        <v/>
      </c>
    </row>
    <row r="1980" spans="1:1" x14ac:dyDescent="0.2">
      <c r="A1980" s="1" t="str">
        <f t="shared" si="30"/>
        <v/>
      </c>
    </row>
    <row r="1981" spans="1:1" x14ac:dyDescent="0.2">
      <c r="A1981" s="1" t="str">
        <f t="shared" si="30"/>
        <v/>
      </c>
    </row>
    <row r="1982" spans="1:1" x14ac:dyDescent="0.2">
      <c r="A1982" s="1" t="str">
        <f t="shared" si="30"/>
        <v/>
      </c>
    </row>
    <row r="1983" spans="1:1" x14ac:dyDescent="0.2">
      <c r="A1983" s="1" t="str">
        <f t="shared" si="30"/>
        <v/>
      </c>
    </row>
    <row r="1984" spans="1:1" x14ac:dyDescent="0.2">
      <c r="A1984" s="1" t="str">
        <f t="shared" si="30"/>
        <v/>
      </c>
    </row>
    <row r="1985" spans="1:1" x14ac:dyDescent="0.2">
      <c r="A1985" s="1" t="str">
        <f t="shared" si="30"/>
        <v/>
      </c>
    </row>
    <row r="1986" spans="1:1" x14ac:dyDescent="0.2">
      <c r="A1986" s="1" t="str">
        <f t="shared" si="30"/>
        <v/>
      </c>
    </row>
    <row r="1987" spans="1:1" x14ac:dyDescent="0.2">
      <c r="A1987" s="1" t="str">
        <f t="shared" si="30"/>
        <v/>
      </c>
    </row>
    <row r="1988" spans="1:1" x14ac:dyDescent="0.2">
      <c r="A1988" s="1" t="str">
        <f t="shared" si="30"/>
        <v/>
      </c>
    </row>
    <row r="1989" spans="1:1" x14ac:dyDescent="0.2">
      <c r="A1989" s="1" t="str">
        <f t="shared" si="30"/>
        <v/>
      </c>
    </row>
    <row r="1990" spans="1:1" x14ac:dyDescent="0.2">
      <c r="A1990" s="1" t="str">
        <f t="shared" si="30"/>
        <v/>
      </c>
    </row>
    <row r="1991" spans="1:1" x14ac:dyDescent="0.2">
      <c r="A1991" s="1" t="str">
        <f t="shared" si="30"/>
        <v/>
      </c>
    </row>
    <row r="1992" spans="1:1" x14ac:dyDescent="0.2">
      <c r="A1992" s="1" t="str">
        <f t="shared" si="30"/>
        <v/>
      </c>
    </row>
    <row r="1993" spans="1:1" x14ac:dyDescent="0.2">
      <c r="A1993" s="1" t="str">
        <f t="shared" ref="A1993:A2001" si="31">IF($B1993&lt;&gt;"",$A1992+10,"")</f>
        <v/>
      </c>
    </row>
    <row r="1994" spans="1:1" x14ac:dyDescent="0.2">
      <c r="A1994" s="1" t="str">
        <f t="shared" si="31"/>
        <v/>
      </c>
    </row>
    <row r="1995" spans="1:1" x14ac:dyDescent="0.2">
      <c r="A1995" s="1" t="str">
        <f t="shared" si="31"/>
        <v/>
      </c>
    </row>
    <row r="1996" spans="1:1" x14ac:dyDescent="0.2">
      <c r="A1996" s="1" t="str">
        <f t="shared" si="31"/>
        <v/>
      </c>
    </row>
    <row r="1997" spans="1:1" x14ac:dyDescent="0.2">
      <c r="A1997" s="1" t="str">
        <f t="shared" si="31"/>
        <v/>
      </c>
    </row>
    <row r="1998" spans="1:1" x14ac:dyDescent="0.2">
      <c r="A1998" s="1" t="str">
        <f t="shared" si="31"/>
        <v/>
      </c>
    </row>
    <row r="1999" spans="1:1" x14ac:dyDescent="0.2">
      <c r="A1999" s="1" t="str">
        <f t="shared" si="31"/>
        <v/>
      </c>
    </row>
    <row r="2000" spans="1:1" x14ac:dyDescent="0.2">
      <c r="A2000" s="1" t="str">
        <f t="shared" si="31"/>
        <v/>
      </c>
    </row>
    <row r="2001" spans="1:1" x14ac:dyDescent="0.2">
      <c r="A2001" s="1" t="str">
        <f t="shared" si="31"/>
        <v/>
      </c>
    </row>
  </sheetData>
  <mergeCells count="3">
    <mergeCell ref="B4:C4"/>
    <mergeCell ref="I15:J15"/>
    <mergeCell ref="L15:M15"/>
  </mergeCells>
  <pageMargins left="0.7" right="0.7" top="0.78740157499999996" bottom="0.78740157499999996" header="0.3" footer="0.3"/>
</worksheet>
</file>

<file path=customUI/customUI14.xml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Arbeitsblätter</vt:lpstr>
      </vt:variant>
      <vt:variant>
        <vt:i4>1</vt:i4>
      </vt:variant>
      <vt:variant>
        <vt:lpstr>Diagramme</vt:lpstr>
      </vt:variant>
      <vt:variant>
        <vt:i4>1</vt:i4>
      </vt:variant>
      <vt:variant>
        <vt:lpstr>Benannte Bereiche</vt:lpstr>
      </vt:variant>
      <vt:variant>
        <vt:i4>77</vt:i4>
      </vt:variant>
    </vt:vector>
  </HeadingPairs>
  <TitlesOfParts>
    <vt:vector size="79" baseType="lpstr">
      <vt:lpstr>Monopoly</vt:lpstr>
      <vt:lpstr>Vermögensentwicklung</vt:lpstr>
      <vt:lpstr>AnzahlHäuser</vt:lpstr>
      <vt:lpstr>Barvermögen_Mitte</vt:lpstr>
      <vt:lpstr>Barvermögen_S1</vt:lpstr>
      <vt:lpstr>Barvermögen_S2</vt:lpstr>
      <vt:lpstr>Besitzer</vt:lpstr>
      <vt:lpstr>EK_S1</vt:lpstr>
      <vt:lpstr>EK_S2</vt:lpstr>
      <vt:lpstr>Ereignisfelder</vt:lpstr>
      <vt:lpstr>Feld_1</vt:lpstr>
      <vt:lpstr>Feld_10</vt:lpstr>
      <vt:lpstr>Feld_11</vt:lpstr>
      <vt:lpstr>Feld_12</vt:lpstr>
      <vt:lpstr>Feld_13</vt:lpstr>
      <vt:lpstr>Feld_14</vt:lpstr>
      <vt:lpstr>Feld_15</vt:lpstr>
      <vt:lpstr>Feld_16</vt:lpstr>
      <vt:lpstr>Feld_17</vt:lpstr>
      <vt:lpstr>Feld_18</vt:lpstr>
      <vt:lpstr>Feld_19</vt:lpstr>
      <vt:lpstr>Feld_2</vt:lpstr>
      <vt:lpstr>Feld_20</vt:lpstr>
      <vt:lpstr>Feld_21</vt:lpstr>
      <vt:lpstr>Feld_22</vt:lpstr>
      <vt:lpstr>Feld_23</vt:lpstr>
      <vt:lpstr>Feld_24</vt:lpstr>
      <vt:lpstr>Feld_25</vt:lpstr>
      <vt:lpstr>Feld_26</vt:lpstr>
      <vt:lpstr>Feld_27</vt:lpstr>
      <vt:lpstr>Feld_28</vt:lpstr>
      <vt:lpstr>Feld_29</vt:lpstr>
      <vt:lpstr>Feld_3</vt:lpstr>
      <vt:lpstr>Feld_30</vt:lpstr>
      <vt:lpstr>Feld_31</vt:lpstr>
      <vt:lpstr>Feld_32</vt:lpstr>
      <vt:lpstr>Feld_33</vt:lpstr>
      <vt:lpstr>Feld_34</vt:lpstr>
      <vt:lpstr>Feld_35</vt:lpstr>
      <vt:lpstr>Feld_36</vt:lpstr>
      <vt:lpstr>Feld_37</vt:lpstr>
      <vt:lpstr>Feld_38</vt:lpstr>
      <vt:lpstr>Feld_39</vt:lpstr>
      <vt:lpstr>Feld_4</vt:lpstr>
      <vt:lpstr>Feld_40</vt:lpstr>
      <vt:lpstr>Feld_5</vt:lpstr>
      <vt:lpstr>Feld_50</vt:lpstr>
      <vt:lpstr>Feld_6</vt:lpstr>
      <vt:lpstr>Feld_7</vt:lpstr>
      <vt:lpstr>Feld_8</vt:lpstr>
      <vt:lpstr>Feld_9</vt:lpstr>
      <vt:lpstr>GanzeRunde?</vt:lpstr>
      <vt:lpstr>GefängnisS1</vt:lpstr>
      <vt:lpstr>GefängnisS2</vt:lpstr>
      <vt:lpstr>Gemeinschaftsfelder</vt:lpstr>
      <vt:lpstr>Gr_S1</vt:lpstr>
      <vt:lpstr>Gr_S2</vt:lpstr>
      <vt:lpstr>Grundstueck</vt:lpstr>
      <vt:lpstr>Häuser_S1</vt:lpstr>
      <vt:lpstr>Häuser_S2</vt:lpstr>
      <vt:lpstr>HäuserGebaut</vt:lpstr>
      <vt:lpstr>HotelsGebaut</vt:lpstr>
      <vt:lpstr>Hyp_S1</vt:lpstr>
      <vt:lpstr>Hyp_S2</vt:lpstr>
      <vt:lpstr>Hypothek</vt:lpstr>
      <vt:lpstr>Index</vt:lpstr>
      <vt:lpstr>NachrichtS1</vt:lpstr>
      <vt:lpstr>NachrichtS2</vt:lpstr>
      <vt:lpstr>NameSpieler1</vt:lpstr>
      <vt:lpstr>NameSpieler2</vt:lpstr>
      <vt:lpstr>PosS1</vt:lpstr>
      <vt:lpstr>PosS2</vt:lpstr>
      <vt:lpstr>RundenGefängnisS1</vt:lpstr>
      <vt:lpstr>RundenGefängnisS2</vt:lpstr>
      <vt:lpstr>Rundenzähler</vt:lpstr>
      <vt:lpstr>Schrittweite</vt:lpstr>
      <vt:lpstr>Spielfelder</vt:lpstr>
      <vt:lpstr>Wuerfel1</vt:lpstr>
      <vt:lpstr>Wuerfel2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</cp:lastModifiedBy>
  <dcterms:created xsi:type="dcterms:W3CDTF">2012-09-19T16:38:49Z</dcterms:created>
  <dcterms:modified xsi:type="dcterms:W3CDTF">2014-07-18T13:37:25Z</dcterms:modified>
</cp:coreProperties>
</file>